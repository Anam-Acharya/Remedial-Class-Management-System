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B41D860-D9F6-48A9-9C5F-42F04A507DF9}" xr6:coauthVersionLast="47" xr6:coauthVersionMax="47" xr10:uidLastSave="{00000000-0000-0000-0000-000000000000}"/>
  <bookViews>
    <workbookView xWindow="-120" yWindow="-120" windowWidth="20730" windowHeight="11040" firstSheet="4" activeTab="8" xr2:uid="{EE51CA4A-CD50-43EF-A37E-DBDB58742408}"/>
  </bookViews>
  <sheets>
    <sheet name="Know Your Student" sheetId="1" r:id="rId1"/>
    <sheet name="Functional Sheet" sheetId="10" state="hidden" r:id="rId2"/>
    <sheet name="Students Record" sheetId="2" r:id="rId3"/>
    <sheet name="Attendance" sheetId="3" r:id="rId4"/>
    <sheet name="What's Happening  " sheetId="4" r:id="rId5"/>
    <sheet name="Classr Routine" sheetId="5" r:id="rId6"/>
    <sheet name="Exams" sheetId="7" r:id="rId7"/>
    <sheet name="New Students Record" sheetId="6" r:id="rId8"/>
    <sheet name="Exit Students Recor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B16" i="1"/>
  <c r="I8" i="1"/>
  <c r="I7" i="1"/>
  <c r="E1" i="7"/>
  <c r="I6" i="1" s="1"/>
  <c r="F9" i="1"/>
  <c r="F8" i="1"/>
  <c r="F7" i="1"/>
  <c r="C12" i="1"/>
  <c r="C11" i="1"/>
  <c r="C10" i="1"/>
  <c r="C9" i="1"/>
  <c r="C8" i="1"/>
  <c r="C7" i="1"/>
  <c r="G14" i="7"/>
  <c r="H14" i="7" s="1"/>
  <c r="G21" i="7"/>
  <c r="H21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0" i="7"/>
  <c r="H20" i="7" s="1"/>
  <c r="G19" i="7"/>
  <c r="H19" i="7" s="1"/>
  <c r="G18" i="7"/>
  <c r="H18" i="7" s="1"/>
  <c r="G17" i="7"/>
  <c r="H17" i="7" s="1"/>
  <c r="G16" i="7"/>
  <c r="H16" i="7" s="1"/>
  <c r="G13" i="7"/>
  <c r="H13" i="7" s="1"/>
  <c r="G12" i="7"/>
  <c r="H12" i="7" s="1"/>
  <c r="G11" i="7"/>
  <c r="H11" i="7" s="1"/>
  <c r="G10" i="7"/>
  <c r="H10" i="7" s="1"/>
  <c r="G9" i="7"/>
  <c r="H9" i="7" s="1"/>
  <c r="G4" i="7"/>
  <c r="H4" i="7" s="1"/>
  <c r="I10" i="1" s="1"/>
  <c r="G5" i="7"/>
  <c r="H5" i="7" s="1"/>
  <c r="G6" i="7"/>
  <c r="H6" i="7" s="1"/>
  <c r="G7" i="7"/>
  <c r="H7" i="7" s="1"/>
  <c r="G3" i="7"/>
  <c r="H3" i="7" s="1"/>
  <c r="AO7" i="3"/>
  <c r="AO4" i="3"/>
  <c r="AO5" i="3"/>
  <c r="AO6" i="3"/>
  <c r="AJ21" i="3"/>
  <c r="AK21" i="3"/>
  <c r="AL21" i="3"/>
  <c r="AK28" i="3"/>
  <c r="AJ28" i="3"/>
  <c r="AL28" i="3" s="1"/>
  <c r="AK27" i="3"/>
  <c r="AJ27" i="3"/>
  <c r="AL27" i="3" s="1"/>
  <c r="AK26" i="3"/>
  <c r="AJ26" i="3"/>
  <c r="AL26" i="3" s="1"/>
  <c r="AK25" i="3"/>
  <c r="AJ25" i="3"/>
  <c r="AL25" i="3" s="1"/>
  <c r="AK24" i="3"/>
  <c r="AJ24" i="3"/>
  <c r="AL24" i="3" s="1"/>
  <c r="AK23" i="3"/>
  <c r="AJ23" i="3"/>
  <c r="AL23" i="3" s="1"/>
  <c r="AK20" i="3"/>
  <c r="AJ20" i="3"/>
  <c r="AL20" i="3" s="1"/>
  <c r="AK19" i="3"/>
  <c r="AJ19" i="3"/>
  <c r="AL19" i="3" s="1"/>
  <c r="AK18" i="3"/>
  <c r="AJ18" i="3"/>
  <c r="AL18" i="3" s="1"/>
  <c r="AK17" i="3"/>
  <c r="AJ17" i="3"/>
  <c r="AL17" i="3" s="1"/>
  <c r="AK16" i="3"/>
  <c r="AJ16" i="3"/>
  <c r="AL16" i="3" s="1"/>
  <c r="AK13" i="3"/>
  <c r="AJ13" i="3"/>
  <c r="AL13" i="3" s="1"/>
  <c r="AK12" i="3"/>
  <c r="AJ12" i="3"/>
  <c r="AL12" i="3" s="1"/>
  <c r="AK11" i="3"/>
  <c r="AJ11" i="3"/>
  <c r="AL11" i="3" s="1"/>
  <c r="AK10" i="3"/>
  <c r="AJ10" i="3"/>
  <c r="AL10" i="3" s="1"/>
  <c r="AK9" i="3"/>
  <c r="AJ9" i="3"/>
  <c r="AL9" i="3" s="1"/>
  <c r="AL4" i="3"/>
  <c r="AL5" i="3"/>
  <c r="AL6" i="3"/>
  <c r="AL7" i="3"/>
  <c r="AL3" i="3"/>
  <c r="AK4" i="3"/>
  <c r="AK5" i="3"/>
  <c r="AK6" i="3"/>
  <c r="AK7" i="3"/>
  <c r="AK3" i="3"/>
  <c r="AJ3" i="3"/>
  <c r="AJ4" i="3"/>
  <c r="AJ5" i="3"/>
  <c r="AJ6" i="3"/>
  <c r="AJ7" i="3"/>
  <c r="C16" i="1" l="1" a="1"/>
  <c r="C16" i="1" s="1"/>
  <c r="I9" i="1"/>
  <c r="F6" i="1"/>
  <c r="F10" i="1" s="1"/>
  <c r="B16" i="4"/>
  <c r="B16" i="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<sst xmlns="http://schemas.openxmlformats.org/spreadsheetml/2006/main" count="1352" uniqueCount="153">
  <si>
    <t>Students Name</t>
  </si>
  <si>
    <t>Class</t>
  </si>
  <si>
    <t>Section</t>
  </si>
  <si>
    <t>Subject</t>
  </si>
  <si>
    <t>Teacher Name</t>
  </si>
  <si>
    <t>Classroom</t>
  </si>
  <si>
    <t>Status</t>
  </si>
  <si>
    <t>A</t>
  </si>
  <si>
    <t>B</t>
  </si>
  <si>
    <t>C</t>
  </si>
  <si>
    <t>Arjun Mehta</t>
  </si>
  <si>
    <t>Math</t>
  </si>
  <si>
    <t>Mr. Peterson</t>
  </si>
  <si>
    <t>Room 401</t>
  </si>
  <si>
    <t>Continue</t>
  </si>
  <si>
    <t>Sara Jenkins</t>
  </si>
  <si>
    <t>Science</t>
  </si>
  <si>
    <t>Completed</t>
  </si>
  <si>
    <t>Leo Maxwell</t>
  </si>
  <si>
    <t>Social</t>
  </si>
  <si>
    <t>Zoe Rivera</t>
  </si>
  <si>
    <t>English</t>
  </si>
  <si>
    <t>Discontinue</t>
  </si>
  <si>
    <t>Kevin Vance</t>
  </si>
  <si>
    <t>Elena Gilbert</t>
  </si>
  <si>
    <t>Dr. Aris</t>
  </si>
  <si>
    <t>Lab 5</t>
  </si>
  <si>
    <t>Marcus Thorne</t>
  </si>
  <si>
    <t>Ivy Watson</t>
  </si>
  <si>
    <t>Oscar Wilde</t>
  </si>
  <si>
    <t>Nina Simone</t>
  </si>
  <si>
    <t>Ryan Cooper</t>
  </si>
  <si>
    <t>Maya Angelou</t>
  </si>
  <si>
    <t>Mrs. Curie</t>
  </si>
  <si>
    <t>Felix Lighter</t>
  </si>
  <si>
    <t>Room 603</t>
  </si>
  <si>
    <t>Sienna Miller</t>
  </si>
  <si>
    <t>Victor Hugo</t>
  </si>
  <si>
    <t>Diana Prince</t>
  </si>
  <si>
    <t>Peter Parker</t>
  </si>
  <si>
    <t>Lara Croft</t>
  </si>
  <si>
    <t>Mr. Shakespeare</t>
  </si>
  <si>
    <t>Bruce Wayne</t>
  </si>
  <si>
    <t>Clark Kent</t>
  </si>
  <si>
    <t>Diana Ross</t>
  </si>
  <si>
    <t>Arthur Curry</t>
  </si>
  <si>
    <t>Selina Kyle</t>
  </si>
  <si>
    <t>Clubhouse</t>
  </si>
  <si>
    <t>Month</t>
  </si>
  <si>
    <t>Lists</t>
  </si>
  <si>
    <t>List</t>
  </si>
  <si>
    <t>Present</t>
  </si>
  <si>
    <t>Absent</t>
  </si>
  <si>
    <t>Escape</t>
  </si>
  <si>
    <t>Total</t>
  </si>
  <si>
    <t>Class Duration</t>
  </si>
  <si>
    <t>Class 4</t>
  </si>
  <si>
    <t>Class 5</t>
  </si>
  <si>
    <t>Class 6</t>
  </si>
  <si>
    <t>Class 7</t>
  </si>
  <si>
    <t>Class/Criteria</t>
  </si>
  <si>
    <t>Date</t>
  </si>
  <si>
    <t>Class Six</t>
  </si>
  <si>
    <t>Class Five</t>
  </si>
  <si>
    <t>Class Four</t>
  </si>
  <si>
    <t>Class Seven</t>
  </si>
  <si>
    <t>Basic Addition &amp; Subtraction</t>
  </si>
  <si>
    <t>Holiday</t>
  </si>
  <si>
    <t>Our Local Neighborhood</t>
  </si>
  <si>
    <t>Saturday</t>
  </si>
  <si>
    <t>Nouns and Pronouns</t>
  </si>
  <si>
    <t>No Class</t>
  </si>
  <si>
    <t>Plant Life Cycles</t>
  </si>
  <si>
    <t>Types of Rocks</t>
  </si>
  <si>
    <t>Reading Comprehension</t>
  </si>
  <si>
    <t>Solar System Exploration</t>
  </si>
  <si>
    <t>Ancient Egypt Studies</t>
  </si>
  <si>
    <t>Introduction to Ratios</t>
  </si>
  <si>
    <t>Digestive System Basics</t>
  </si>
  <si>
    <t>Story Writing Workshop</t>
  </si>
  <si>
    <t>Equations and Variables</t>
  </si>
  <si>
    <t>World Maps &amp; Globes</t>
  </si>
  <si>
    <t>Introduction to Classes</t>
  </si>
  <si>
    <t>Sunday</t>
  </si>
  <si>
    <t>Monday</t>
  </si>
  <si>
    <t>Full Marks</t>
  </si>
  <si>
    <t>Pass Marks</t>
  </si>
  <si>
    <t>Obtained Marks</t>
  </si>
  <si>
    <t>Remedial Class Record</t>
  </si>
  <si>
    <t>Effective from 2026-02-9</t>
  </si>
  <si>
    <t>Day</t>
  </si>
  <si>
    <t>Time Slot</t>
  </si>
  <si>
    <t>Grade 4</t>
  </si>
  <si>
    <t>Grade 5</t>
  </si>
  <si>
    <t>Grade 6</t>
  </si>
  <si>
    <t>Grade 7</t>
  </si>
  <si>
    <t>05:40 - 06:40 PM</t>
  </si>
  <si>
    <t>Tuesday</t>
  </si>
  <si>
    <t>Wednesday</t>
  </si>
  <si>
    <t>Thursday</t>
  </si>
  <si>
    <t>Friday</t>
  </si>
  <si>
    <t>Parents Call</t>
  </si>
  <si>
    <t>Approve</t>
  </si>
  <si>
    <t>Remarks</t>
  </si>
  <si>
    <t>Approved</t>
  </si>
  <si>
    <t>Not Approved</t>
  </si>
  <si>
    <t>will join from 02-15</t>
  </si>
  <si>
    <t>will join from 02-16</t>
  </si>
  <si>
    <t>tution class</t>
  </si>
  <si>
    <t>bus issue</t>
  </si>
  <si>
    <t>Alex Johnson</t>
  </si>
  <si>
    <t>Maria Garcia</t>
  </si>
  <si>
    <t>Liam Smith</t>
  </si>
  <si>
    <t>Chloe Chen</t>
  </si>
  <si>
    <t>Omar Syed</t>
  </si>
  <si>
    <t>Sarah Cook</t>
  </si>
  <si>
    <t>James Wilson</t>
  </si>
  <si>
    <t>Elena Rossi</t>
  </si>
  <si>
    <t>David Park</t>
  </si>
  <si>
    <t>Priya Devi</t>
  </si>
  <si>
    <t>S.N</t>
  </si>
  <si>
    <t>Response</t>
  </si>
  <si>
    <t xml:space="preserve">Call Date </t>
  </si>
  <si>
    <t>ok</t>
  </si>
  <si>
    <t>Know Your Student</t>
  </si>
  <si>
    <t>Select Student</t>
  </si>
  <si>
    <t>Student Information</t>
  </si>
  <si>
    <t>Name</t>
  </si>
  <si>
    <t>Teacher</t>
  </si>
  <si>
    <t>Current Status</t>
  </si>
  <si>
    <t>Attendance Summary</t>
  </si>
  <si>
    <t>No. of Class Duration</t>
  </si>
  <si>
    <t>No. of Present</t>
  </si>
  <si>
    <t>No. of Escape</t>
  </si>
  <si>
    <t>No. of Absent</t>
  </si>
  <si>
    <t>Attendance %</t>
  </si>
  <si>
    <t>Exam Summary</t>
  </si>
  <si>
    <t>Full Mark</t>
  </si>
  <si>
    <t>Pass Mark</t>
  </si>
  <si>
    <t>Obtained Mark</t>
  </si>
  <si>
    <t>Date of Exam</t>
  </si>
  <si>
    <t xml:space="preserve">What's Happening? </t>
  </si>
  <si>
    <t>Activity Name</t>
  </si>
  <si>
    <t>Algebra</t>
  </si>
  <si>
    <t>Heat and Energy Questions</t>
  </si>
  <si>
    <t>Quick Links</t>
  </si>
  <si>
    <t>Class Routine</t>
  </si>
  <si>
    <t>Link</t>
  </si>
  <si>
    <t>New Student Record</t>
  </si>
  <si>
    <t>Exit Student Record</t>
  </si>
  <si>
    <t>Click here!!!</t>
  </si>
  <si>
    <t>Tearcher Name</t>
  </si>
  <si>
    <t>Teaching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</si>
</sst>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b/>
      <sz val="15"/>
      <color theme="1"/>
      <name val="Aptos Narrow"/>
      <family val="2"/>
    </font>
    <font>
      <sz val="10"/>
      <color theme="1"/>
      <name val="Arial"/>
      <family val="2"/>
    </font>
    <font>
      <b/>
      <sz val="14"/>
      <color theme="0"/>
      <name val="Aptos Narrow"/>
      <family val="2"/>
    </font>
    <font>
      <b/>
      <sz val="20"/>
      <color theme="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Border="1"/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" fontId="0" fillId="0" borderId="0" xfId="0" applyNumberFormat="1" applyBorder="1"/>
    <xf numFmtId="0" fontId="6" fillId="0" borderId="0" xfId="0" applyFont="1"/>
    <xf numFmtId="0" fontId="3" fillId="0" borderId="0" xfId="0" applyFont="1" applyFill="1" applyAlignment="1">
      <alignment vertical="center"/>
    </xf>
    <xf numFmtId="0" fontId="3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4" borderId="9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center" vertical="center"/>
    </xf>
    <xf numFmtId="14" fontId="3" fillId="3" borderId="11" xfId="0" applyNumberFormat="1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4" fontId="3" fillId="3" borderId="12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C00000"/>
      </font>
    </dxf>
    <dxf>
      <font>
        <b/>
        <i val="0"/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3CBD-D077-49F2-A85E-84982EB79926}">
  <sheetPr codeName="Sheet2"/>
  <dimension ref="A1:J33"/>
  <sheetViews>
    <sheetView zoomScale="110" zoomScaleNormal="110" workbookViewId="0">
      <selection activeCell="K6" sqref="K6"/>
    </sheetView>
  </sheetViews>
  <sheetFormatPr defaultRowHeight="15.75" x14ac:dyDescent="0.25"/>
  <cols>
    <col min="1" max="1" width="4" style="14" customWidth="1"/>
    <col min="2" max="2" width="22.42578125" style="14" customWidth="1"/>
    <col min="3" max="3" width="26.28515625" style="14" bestFit="1" customWidth="1"/>
    <col min="4" max="4" width="2.42578125" style="14" customWidth="1"/>
    <col min="5" max="5" width="21.42578125" style="14" bestFit="1" customWidth="1"/>
    <col min="6" max="6" width="13.7109375" style="14" bestFit="1" customWidth="1"/>
    <col min="7" max="7" width="2.5703125" style="14" customWidth="1"/>
    <col min="8" max="8" width="21.42578125" style="14" customWidth="1"/>
    <col min="9" max="9" width="41.28515625" style="14" customWidth="1"/>
    <col min="10" max="10" width="4.28515625" style="14" customWidth="1"/>
    <col min="11" max="16384" width="9.140625" style="14"/>
  </cols>
  <sheetData>
    <row r="1" spans="1:10" ht="15.75" customHeight="1" x14ac:dyDescent="0.25">
      <c r="A1" s="39" t="s">
        <v>124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5.7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21" customHeight="1" x14ac:dyDescent="0.25">
      <c r="A3" s="27"/>
      <c r="B3" s="27"/>
      <c r="C3" s="44" t="s">
        <v>125</v>
      </c>
      <c r="D3" s="44"/>
      <c r="E3" s="44"/>
      <c r="F3" s="43" t="s">
        <v>15</v>
      </c>
      <c r="G3" s="43"/>
      <c r="H3" s="43"/>
      <c r="I3" s="27"/>
      <c r="J3" s="27"/>
    </row>
    <row r="4" spans="1:10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ht="18.75" x14ac:dyDescent="0.25">
      <c r="A5" s="27"/>
      <c r="B5" s="40" t="s">
        <v>126</v>
      </c>
      <c r="C5" s="40"/>
      <c r="D5" s="30"/>
      <c r="E5" s="40" t="s">
        <v>130</v>
      </c>
      <c r="F5" s="40"/>
      <c r="G5" s="27"/>
      <c r="H5" s="41" t="s">
        <v>136</v>
      </c>
      <c r="I5" s="42"/>
      <c r="J5" s="27"/>
    </row>
    <row r="6" spans="1:10" x14ac:dyDescent="0.25">
      <c r="A6" s="27"/>
      <c r="B6" s="21" t="s">
        <v>127</v>
      </c>
      <c r="C6" s="22" t="str">
        <f>VLOOKUP($F$3, 'Students Record'!$A$1:$G$27, 1,FALSE)</f>
        <v>Sara Jenkins</v>
      </c>
      <c r="D6" s="28"/>
      <c r="E6" s="16" t="s">
        <v>131</v>
      </c>
      <c r="F6" s="16">
        <f>SUM(F7:F9)</f>
        <v>31</v>
      </c>
      <c r="G6" s="27"/>
      <c r="H6" s="15" t="s">
        <v>140</v>
      </c>
      <c r="I6" s="31">
        <f ca="1">Exams!E1</f>
        <v>46042</v>
      </c>
      <c r="J6" s="27"/>
    </row>
    <row r="7" spans="1:10" ht="15" customHeight="1" x14ac:dyDescent="0.25">
      <c r="A7" s="27"/>
      <c r="B7" s="17" t="s">
        <v>1</v>
      </c>
      <c r="C7" s="23">
        <f>VLOOKUP($F$3, 'Students Record'!$A$1:$G$27, 2,FALSE)</f>
        <v>4</v>
      </c>
      <c r="D7" s="28"/>
      <c r="E7" s="16" t="s">
        <v>132</v>
      </c>
      <c r="F7" s="16">
        <f>_xlfn.XLOOKUP($F$3, Attendance!$A$3:$A$28, Attendance!AJ3:AJ28)</f>
        <v>27</v>
      </c>
      <c r="G7" s="27"/>
      <c r="H7" s="15" t="s">
        <v>137</v>
      </c>
      <c r="I7" s="23">
        <f>_xlfn.XLOOKUP($F$3, Exams!$A$3:$A$28, Exams!$E$3:$E$28)</f>
        <v>30</v>
      </c>
      <c r="J7" s="27"/>
    </row>
    <row r="8" spans="1:10" x14ac:dyDescent="0.25">
      <c r="A8" s="27"/>
      <c r="B8" s="17" t="s">
        <v>2</v>
      </c>
      <c r="C8" s="23" t="str">
        <f>VLOOKUP($F$3, 'Students Record'!$A$1:$G$27, 3,FALSE)</f>
        <v>B</v>
      </c>
      <c r="D8" s="28"/>
      <c r="E8" s="16" t="s">
        <v>133</v>
      </c>
      <c r="F8" s="16">
        <f>_xlfn.XLOOKUP($F$3, Attendance!$A$3:$A$28, Attendance!$AK$3:$AK$28)</f>
        <v>2</v>
      </c>
      <c r="G8" s="27"/>
      <c r="H8" s="15" t="s">
        <v>138</v>
      </c>
      <c r="I8" s="23">
        <f>_xlfn.XLOOKUP($F$3, Exams!$A$3:$A$28, Exams!$F$3:$F$28)</f>
        <v>10.5</v>
      </c>
      <c r="J8" s="27"/>
    </row>
    <row r="9" spans="1:10" x14ac:dyDescent="0.25">
      <c r="A9" s="27"/>
      <c r="B9" s="17" t="s">
        <v>3</v>
      </c>
      <c r="C9" s="23" t="str">
        <f>VLOOKUP($F$3, 'Students Record'!$A$1:$G$27, 4,FALSE)</f>
        <v>Math</v>
      </c>
      <c r="D9" s="28"/>
      <c r="E9" s="16" t="s">
        <v>134</v>
      </c>
      <c r="F9" s="16">
        <f>_xlfn.XLOOKUP($F$3, Attendance!$A$3:$A$28, Attendance!$AL$3:$AL$28)</f>
        <v>2</v>
      </c>
      <c r="G9" s="27"/>
      <c r="H9" s="23" t="s">
        <v>139</v>
      </c>
      <c r="I9" s="23">
        <f ca="1">_xlfn.XLOOKUP($F$3, Exams!$A$3:$A$28, Exams!$G$3:$G$28)</f>
        <v>27</v>
      </c>
      <c r="J9" s="27"/>
    </row>
    <row r="10" spans="1:10" x14ac:dyDescent="0.25">
      <c r="A10" s="27"/>
      <c r="B10" s="17" t="s">
        <v>128</v>
      </c>
      <c r="C10" s="23" t="str">
        <f>VLOOKUP($F$3, 'Students Record'!$A$1:$G$27, 5,FALSE)</f>
        <v>Mr. Peterson</v>
      </c>
      <c r="D10" s="28"/>
      <c r="E10" s="24" t="s">
        <v>135</v>
      </c>
      <c r="F10" s="19">
        <f>$F$7/$F$6*100</f>
        <v>87.096774193548384</v>
      </c>
      <c r="G10" s="27"/>
      <c r="H10" s="23" t="s">
        <v>103</v>
      </c>
      <c r="I10" s="23" t="str">
        <f ca="1">_xlfn.XLOOKUP($C$6, Exams!$A$3:$A$28, Exams!$H$3:$H$28)</f>
        <v>Outstanding</v>
      </c>
      <c r="J10" s="27"/>
    </row>
    <row r="11" spans="1:10" x14ac:dyDescent="0.25">
      <c r="A11" s="27"/>
      <c r="B11" s="17" t="s">
        <v>5</v>
      </c>
      <c r="C11" s="23" t="str">
        <f>VLOOKUP($F$3, 'Students Record'!$A$1:$G$27, 6,FALSE)</f>
        <v>Room 401</v>
      </c>
      <c r="D11" s="29"/>
      <c r="E11" s="27"/>
      <c r="F11" s="27"/>
      <c r="G11" s="27"/>
      <c r="H11" s="27"/>
      <c r="I11" s="27"/>
      <c r="J11" s="27"/>
    </row>
    <row r="12" spans="1:10" ht="18.75" x14ac:dyDescent="0.25">
      <c r="A12" s="27"/>
      <c r="B12" s="18" t="s">
        <v>129</v>
      </c>
      <c r="C12" s="24" t="str">
        <f>VLOOKUP($F$3, 'Students Record'!$A$1:$G$27, 7,FALSE)</f>
        <v>Continue</v>
      </c>
      <c r="D12" s="29"/>
      <c r="E12" s="35" t="s">
        <v>145</v>
      </c>
      <c r="F12" s="35"/>
      <c r="G12" s="27"/>
      <c r="H12" s="20" t="s">
        <v>151</v>
      </c>
      <c r="I12" s="32" t="s">
        <v>152</v>
      </c>
      <c r="J12" s="27"/>
    </row>
    <row r="13" spans="1:10" x14ac:dyDescent="0.25">
      <c r="A13" s="27"/>
      <c r="B13" s="27"/>
      <c r="C13" s="27"/>
      <c r="D13" s="27"/>
      <c r="E13" s="25" t="s">
        <v>127</v>
      </c>
      <c r="F13" s="26" t="s">
        <v>147</v>
      </c>
      <c r="G13" s="27"/>
      <c r="H13" s="23" t="s">
        <v>12</v>
      </c>
      <c r="I13" s="33" t="s">
        <v>11</v>
      </c>
      <c r="J13" s="27"/>
    </row>
    <row r="14" spans="1:10" ht="18.75" x14ac:dyDescent="0.25">
      <c r="A14" s="27"/>
      <c r="B14" s="40" t="s">
        <v>141</v>
      </c>
      <c r="C14" s="41"/>
      <c r="D14" s="30"/>
      <c r="E14" s="23" t="s">
        <v>146</v>
      </c>
      <c r="F14" s="16" t="s">
        <v>150</v>
      </c>
      <c r="G14" s="27"/>
      <c r="H14" s="23" t="s">
        <v>25</v>
      </c>
      <c r="I14" s="33" t="s">
        <v>16</v>
      </c>
      <c r="J14" s="27"/>
    </row>
    <row r="15" spans="1:10" x14ac:dyDescent="0.25">
      <c r="A15" s="27"/>
      <c r="B15" s="25" t="s">
        <v>61</v>
      </c>
      <c r="C15" s="25" t="s">
        <v>142</v>
      </c>
      <c r="D15" s="29"/>
      <c r="E15" s="23" t="s">
        <v>148</v>
      </c>
      <c r="F15" s="16" t="s">
        <v>150</v>
      </c>
      <c r="G15" s="27"/>
      <c r="H15" s="23" t="s">
        <v>33</v>
      </c>
      <c r="I15" s="33" t="s">
        <v>19</v>
      </c>
      <c r="J15" s="27"/>
    </row>
    <row r="16" spans="1:10" x14ac:dyDescent="0.25">
      <c r="A16" s="27"/>
      <c r="B16" s="37">
        <f>MAX('What''s Happening  '!A:A)</f>
        <v>45688</v>
      </c>
      <c r="C16" s="34" t="str" cm="1">
        <f t="array" ref="C16">_xlfn.XLOOKUP($B$16,'What''s Happening  '!$A$3:$A$1048576,_xlfn.XLOOKUP('Know Your Student'!$C$9,'What''s Happening  '!$B$2:$E$2,'What''s Happening  '!B3:E1048576))</f>
        <v>Algebra</v>
      </c>
      <c r="D16" s="29"/>
      <c r="E16" s="24" t="s">
        <v>149</v>
      </c>
      <c r="F16" s="19" t="s">
        <v>150</v>
      </c>
      <c r="G16" s="27"/>
      <c r="H16" s="24" t="s">
        <v>41</v>
      </c>
      <c r="I16" s="34" t="s">
        <v>21</v>
      </c>
      <c r="J16" s="27"/>
    </row>
    <row r="17" spans="1:10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33" spans="3:3" x14ac:dyDescent="0.25">
      <c r="C33" s="14" t="s">
        <v>143</v>
      </c>
    </row>
  </sheetData>
  <sheetProtection algorithmName="SHA-512" hashValue="39nrHvf/6+miy6jOB5rtA4WdZkZUhbL2CtjJ8fejKFxb+E0sh+uFJCPENir2LU0kMlvXWaIqPT+w0foOpJwnyg==" saltValue="dSMCL8zZU8ZT/Tsi1urztw==" spinCount="100000" sheet="1" objects="1" scenarios="1"/>
  <mergeCells count="7">
    <mergeCell ref="A1:J2"/>
    <mergeCell ref="B5:C5"/>
    <mergeCell ref="B14:C14"/>
    <mergeCell ref="E5:F5"/>
    <mergeCell ref="H5:I5"/>
    <mergeCell ref="F3:H3"/>
    <mergeCell ref="C3:E3"/>
  </mergeCells>
  <conditionalFormatting sqref="C12:D12">
    <cfRule type="containsText" dxfId="2" priority="1" operator="containsText" text="Completed">
      <formula>NOT(ISERROR(SEARCH("Completed",C12)))</formula>
    </cfRule>
    <cfRule type="containsText" dxfId="1" priority="2" operator="containsText" text="Discontinue">
      <formula>NOT(ISERROR(SEARCH("Discontinue",C12)))</formula>
    </cfRule>
    <cfRule type="containsText" dxfId="0" priority="3" operator="containsText" text="Continue">
      <formula>NOT(ISERROR(SEARCH("Continue",C12)))</formula>
    </cfRule>
  </conditionalFormatting>
  <hyperlinks>
    <hyperlink ref="F14" location="'Classr Routine'!A1" display="Click here!!!" xr:uid="{E1CF8B0C-23E5-4964-A67F-16A0FC75B836}"/>
    <hyperlink ref="F15" location="'New Students Record'!A1" display="Click here!!!" xr:uid="{D41BB7C0-CF0C-4A36-BA44-400B87B007D5}"/>
    <hyperlink ref="F16" location="'Exit Students Record'!A1" display="Click here!!!" xr:uid="{4EBC49E7-C1A0-4B44-9A65-1F3EB6AE161B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B39EF2-994F-49E7-82C7-F17C177BAEEC}">
          <x14:formula1>
            <xm:f>'Functional Sheet'!$A$1:$A$23</xm:f>
          </x14:formula1>
          <xm:sqref>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011D-2736-46C2-AAEB-678CD71D7F37}">
  <dimension ref="A1:A23"/>
  <sheetViews>
    <sheetView topLeftCell="A2" workbookViewId="0">
      <selection activeCell="C10" sqref="C10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15</v>
      </c>
    </row>
    <row r="3" spans="1:1" x14ac:dyDescent="0.25">
      <c r="A3" t="s">
        <v>18</v>
      </c>
    </row>
    <row r="4" spans="1:1" x14ac:dyDescent="0.25">
      <c r="A4" t="s">
        <v>20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34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F2B0-A7BF-4AB6-B5C7-758A5F4989BE}">
  <sheetPr codeName="Sheet11"/>
  <dimension ref="A1:M27"/>
  <sheetViews>
    <sheetView workbookViewId="0">
      <selection activeCell="K15" sqref="K15"/>
    </sheetView>
  </sheetViews>
  <sheetFormatPr defaultRowHeight="15" x14ac:dyDescent="0.25"/>
  <cols>
    <col min="1" max="1" width="15.7109375" customWidth="1"/>
    <col min="4" max="4" width="17" bestFit="1" customWidth="1"/>
    <col min="5" max="5" width="16.42578125" customWidth="1"/>
    <col min="6" max="6" width="13.42578125" customWidth="1"/>
    <col min="7" max="7" width="14.140625" customWidth="1"/>
    <col min="13" max="13" width="11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25">
      <c r="A2" t="s">
        <v>10</v>
      </c>
      <c r="B2">
        <v>4</v>
      </c>
      <c r="C2" t="s">
        <v>7</v>
      </c>
      <c r="D2" t="s">
        <v>11</v>
      </c>
      <c r="E2" t="s">
        <v>12</v>
      </c>
      <c r="F2" t="s">
        <v>13</v>
      </c>
      <c r="G2" t="s">
        <v>14</v>
      </c>
      <c r="M2" s="1" t="s">
        <v>50</v>
      </c>
    </row>
    <row r="3" spans="1:13" x14ac:dyDescent="0.25">
      <c r="A3" t="s">
        <v>15</v>
      </c>
      <c r="B3">
        <v>4</v>
      </c>
      <c r="C3" t="s">
        <v>8</v>
      </c>
      <c r="D3" t="s">
        <v>11</v>
      </c>
      <c r="E3" t="s">
        <v>12</v>
      </c>
      <c r="F3" t="s">
        <v>13</v>
      </c>
      <c r="G3" t="s">
        <v>14</v>
      </c>
      <c r="M3" t="s">
        <v>14</v>
      </c>
    </row>
    <row r="4" spans="1:13" x14ac:dyDescent="0.25">
      <c r="A4" t="s">
        <v>18</v>
      </c>
      <c r="B4">
        <v>4</v>
      </c>
      <c r="C4" t="s">
        <v>7</v>
      </c>
      <c r="D4" t="s">
        <v>11</v>
      </c>
      <c r="E4" t="s">
        <v>12</v>
      </c>
      <c r="F4" t="s">
        <v>13</v>
      </c>
      <c r="G4" t="s">
        <v>14</v>
      </c>
      <c r="M4" t="s">
        <v>22</v>
      </c>
    </row>
    <row r="5" spans="1:13" x14ac:dyDescent="0.25">
      <c r="A5" t="s">
        <v>20</v>
      </c>
      <c r="B5">
        <v>4</v>
      </c>
      <c r="C5" t="s">
        <v>8</v>
      </c>
      <c r="D5" t="s">
        <v>11</v>
      </c>
      <c r="E5" t="s">
        <v>12</v>
      </c>
      <c r="F5" t="s">
        <v>13</v>
      </c>
      <c r="G5" t="s">
        <v>22</v>
      </c>
      <c r="M5" t="s">
        <v>17</v>
      </c>
    </row>
    <row r="6" spans="1:13" x14ac:dyDescent="0.25">
      <c r="A6" t="s">
        <v>23</v>
      </c>
      <c r="B6">
        <v>4</v>
      </c>
      <c r="C6" t="s">
        <v>7</v>
      </c>
      <c r="D6" t="s">
        <v>11</v>
      </c>
      <c r="E6" t="s">
        <v>12</v>
      </c>
      <c r="F6" t="s">
        <v>13</v>
      </c>
      <c r="G6" t="s">
        <v>17</v>
      </c>
    </row>
    <row r="8" spans="1:13" x14ac:dyDescent="0.25">
      <c r="A8" t="s">
        <v>24</v>
      </c>
      <c r="B8">
        <v>5</v>
      </c>
      <c r="C8" t="s">
        <v>7</v>
      </c>
      <c r="D8" t="s">
        <v>16</v>
      </c>
      <c r="E8" t="s">
        <v>25</v>
      </c>
      <c r="F8" t="s">
        <v>26</v>
      </c>
      <c r="G8" t="s">
        <v>22</v>
      </c>
    </row>
    <row r="9" spans="1:13" x14ac:dyDescent="0.25">
      <c r="A9" t="s">
        <v>27</v>
      </c>
      <c r="B9">
        <v>5</v>
      </c>
      <c r="C9" t="s">
        <v>8</v>
      </c>
      <c r="D9" t="s">
        <v>16</v>
      </c>
      <c r="E9" t="s">
        <v>25</v>
      </c>
      <c r="F9" t="s">
        <v>26</v>
      </c>
      <c r="G9" t="s">
        <v>14</v>
      </c>
    </row>
    <row r="10" spans="1:13" x14ac:dyDescent="0.25">
      <c r="A10" t="s">
        <v>28</v>
      </c>
      <c r="B10">
        <v>5</v>
      </c>
      <c r="C10" t="s">
        <v>7</v>
      </c>
      <c r="D10" t="s">
        <v>16</v>
      </c>
      <c r="E10" t="s">
        <v>25</v>
      </c>
      <c r="F10" t="s">
        <v>26</v>
      </c>
      <c r="G10" t="s">
        <v>14</v>
      </c>
    </row>
    <row r="11" spans="1:13" x14ac:dyDescent="0.25">
      <c r="A11" t="s">
        <v>29</v>
      </c>
      <c r="B11">
        <v>5</v>
      </c>
      <c r="C11" t="s">
        <v>8</v>
      </c>
      <c r="D11" t="s">
        <v>16</v>
      </c>
      <c r="E11" t="s">
        <v>25</v>
      </c>
      <c r="F11" t="s">
        <v>26</v>
      </c>
      <c r="G11" t="s">
        <v>22</v>
      </c>
    </row>
    <row r="12" spans="1:13" x14ac:dyDescent="0.25">
      <c r="A12" t="s">
        <v>30</v>
      </c>
      <c r="B12">
        <v>5</v>
      </c>
      <c r="C12" t="s">
        <v>7</v>
      </c>
      <c r="D12" t="s">
        <v>16</v>
      </c>
      <c r="E12" t="s">
        <v>25</v>
      </c>
      <c r="F12" t="s">
        <v>26</v>
      </c>
      <c r="G12" t="s">
        <v>17</v>
      </c>
    </row>
    <row r="13" spans="1:13" x14ac:dyDescent="0.25">
      <c r="A13" t="s">
        <v>31</v>
      </c>
      <c r="B13">
        <v>6</v>
      </c>
      <c r="C13" t="s">
        <v>7</v>
      </c>
      <c r="D13" t="s">
        <v>16</v>
      </c>
      <c r="E13" t="s">
        <v>25</v>
      </c>
      <c r="F13" t="s">
        <v>26</v>
      </c>
      <c r="G13" t="s">
        <v>14</v>
      </c>
    </row>
    <row r="15" spans="1:13" x14ac:dyDescent="0.25">
      <c r="A15" t="s">
        <v>32</v>
      </c>
      <c r="B15">
        <v>6</v>
      </c>
      <c r="C15" t="s">
        <v>8</v>
      </c>
      <c r="D15" t="s">
        <v>19</v>
      </c>
      <c r="E15" t="s">
        <v>33</v>
      </c>
      <c r="F15" t="s">
        <v>35</v>
      </c>
      <c r="G15" t="s">
        <v>14</v>
      </c>
    </row>
    <row r="16" spans="1:13" x14ac:dyDescent="0.25">
      <c r="A16" t="s">
        <v>34</v>
      </c>
      <c r="B16">
        <v>6</v>
      </c>
      <c r="C16" t="s">
        <v>9</v>
      </c>
      <c r="D16" t="s">
        <v>19</v>
      </c>
      <c r="E16" t="s">
        <v>33</v>
      </c>
      <c r="F16" t="s">
        <v>35</v>
      </c>
      <c r="G16" t="s">
        <v>14</v>
      </c>
    </row>
    <row r="17" spans="1:7" x14ac:dyDescent="0.25">
      <c r="A17" t="s">
        <v>36</v>
      </c>
      <c r="B17">
        <v>6</v>
      </c>
      <c r="C17" t="s">
        <v>7</v>
      </c>
      <c r="D17" t="s">
        <v>19</v>
      </c>
      <c r="E17" t="s">
        <v>33</v>
      </c>
      <c r="F17" t="s">
        <v>35</v>
      </c>
      <c r="G17" t="s">
        <v>17</v>
      </c>
    </row>
    <row r="18" spans="1:7" x14ac:dyDescent="0.25">
      <c r="A18" t="s">
        <v>37</v>
      </c>
      <c r="B18">
        <v>6</v>
      </c>
      <c r="C18" t="s">
        <v>8</v>
      </c>
      <c r="D18" t="s">
        <v>19</v>
      </c>
      <c r="E18" t="s">
        <v>33</v>
      </c>
      <c r="F18" t="s">
        <v>35</v>
      </c>
      <c r="G18" t="s">
        <v>17</v>
      </c>
    </row>
    <row r="19" spans="1:7" x14ac:dyDescent="0.25">
      <c r="A19" t="s">
        <v>38</v>
      </c>
      <c r="B19">
        <v>6</v>
      </c>
      <c r="C19" t="s">
        <v>9</v>
      </c>
      <c r="D19" t="s">
        <v>19</v>
      </c>
      <c r="E19" t="s">
        <v>33</v>
      </c>
      <c r="F19" t="s">
        <v>35</v>
      </c>
      <c r="G19" t="s">
        <v>14</v>
      </c>
    </row>
    <row r="20" spans="1:7" x14ac:dyDescent="0.25">
      <c r="A20" t="s">
        <v>39</v>
      </c>
      <c r="B20">
        <v>6</v>
      </c>
      <c r="C20" t="s">
        <v>7</v>
      </c>
      <c r="D20" t="s">
        <v>19</v>
      </c>
      <c r="E20" t="s">
        <v>33</v>
      </c>
      <c r="F20" t="s">
        <v>35</v>
      </c>
      <c r="G20" t="s">
        <v>14</v>
      </c>
    </row>
    <row r="22" spans="1:7" x14ac:dyDescent="0.25">
      <c r="A22" t="s">
        <v>40</v>
      </c>
      <c r="B22">
        <v>7</v>
      </c>
      <c r="C22" t="s">
        <v>7</v>
      </c>
      <c r="D22" t="s">
        <v>21</v>
      </c>
      <c r="E22" t="s">
        <v>41</v>
      </c>
      <c r="F22" t="s">
        <v>47</v>
      </c>
      <c r="G22" t="s">
        <v>14</v>
      </c>
    </row>
    <row r="23" spans="1:7" x14ac:dyDescent="0.25">
      <c r="A23" t="s">
        <v>42</v>
      </c>
      <c r="B23">
        <v>7</v>
      </c>
      <c r="C23" t="s">
        <v>8</v>
      </c>
      <c r="D23" t="s">
        <v>21</v>
      </c>
      <c r="E23" t="s">
        <v>41</v>
      </c>
      <c r="F23" t="s">
        <v>47</v>
      </c>
      <c r="G23" t="s">
        <v>22</v>
      </c>
    </row>
    <row r="24" spans="1:7" x14ac:dyDescent="0.25">
      <c r="A24" t="s">
        <v>43</v>
      </c>
      <c r="B24">
        <v>7</v>
      </c>
      <c r="C24" t="s">
        <v>9</v>
      </c>
      <c r="D24" t="s">
        <v>21</v>
      </c>
      <c r="E24" t="s">
        <v>41</v>
      </c>
      <c r="F24" t="s">
        <v>47</v>
      </c>
      <c r="G24" t="s">
        <v>14</v>
      </c>
    </row>
    <row r="25" spans="1:7" x14ac:dyDescent="0.25">
      <c r="A25" t="s">
        <v>44</v>
      </c>
      <c r="B25">
        <v>7</v>
      </c>
      <c r="C25" t="s">
        <v>7</v>
      </c>
      <c r="D25" t="s">
        <v>21</v>
      </c>
      <c r="E25" t="s">
        <v>41</v>
      </c>
      <c r="F25" t="s">
        <v>47</v>
      </c>
      <c r="G25" t="s">
        <v>14</v>
      </c>
    </row>
    <row r="26" spans="1:7" x14ac:dyDescent="0.25">
      <c r="A26" t="s">
        <v>45</v>
      </c>
      <c r="B26">
        <v>7</v>
      </c>
      <c r="C26" t="s">
        <v>8</v>
      </c>
      <c r="D26" t="s">
        <v>21</v>
      </c>
      <c r="E26" t="s">
        <v>41</v>
      </c>
      <c r="F26" t="s">
        <v>47</v>
      </c>
      <c r="G26" t="s">
        <v>17</v>
      </c>
    </row>
    <row r="27" spans="1:7" x14ac:dyDescent="0.25">
      <c r="A27" t="s">
        <v>46</v>
      </c>
      <c r="B27">
        <v>7</v>
      </c>
      <c r="C27" t="s">
        <v>9</v>
      </c>
      <c r="D27" t="s">
        <v>21</v>
      </c>
      <c r="E27" t="s">
        <v>41</v>
      </c>
      <c r="F27" t="s">
        <v>47</v>
      </c>
      <c r="G27" t="s">
        <v>17</v>
      </c>
    </row>
  </sheetData>
  <sheetProtection algorithmName="SHA-512" hashValue="jSn10kTXR60ZFmtVqYfn34UDyzjVQRUsHWgrOJqha3NmJIgCVYs/UKhLCyzMp4L/qzrawxOot2FgwkeCPqLjqQ==" saltValue="XxT+l6hF2+FDWuIy8q520g==" spinCount="100000" sheet="1" objects="1" scenarios="1"/>
  <phoneticPr fontId="2" type="noConversion"/>
  <dataValidations count="1">
    <dataValidation type="list" allowBlank="1" showInputMessage="1" showErrorMessage="1" sqref="G2:G27" xr:uid="{810ABCE6-1903-41BC-8874-447722B399FB}">
      <formula1>$M$3:$M$5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792F-F2E4-4199-9377-D2B3F2191412}">
  <sheetPr codeName="Sheet3"/>
  <dimension ref="A1:AO35"/>
  <sheetViews>
    <sheetView workbookViewId="0">
      <pane xSplit="4" ySplit="2" topLeftCell="AD3" activePane="bottomRight" state="frozen"/>
      <selection pane="topRight" activeCell="E1" sqref="E1"/>
      <selection pane="bottomLeft" activeCell="A3" sqref="A3"/>
      <selection pane="bottomRight" activeCell="AQ16" sqref="AQ16"/>
    </sheetView>
  </sheetViews>
  <sheetFormatPr defaultRowHeight="15" x14ac:dyDescent="0.25"/>
  <cols>
    <col min="1" max="1" width="16" customWidth="1"/>
    <col min="29" max="29" width="11.5703125" bestFit="1" customWidth="1"/>
    <col min="35" max="35" width="11.5703125" bestFit="1" customWidth="1"/>
    <col min="40" max="41" width="14.140625" bestFit="1" customWidth="1"/>
  </cols>
  <sheetData>
    <row r="1" spans="1:41" s="4" customFormat="1" x14ac:dyDescent="0.25">
      <c r="A1" s="45" t="s">
        <v>0</v>
      </c>
      <c r="B1" s="45" t="s">
        <v>1</v>
      </c>
      <c r="C1" s="45" t="s">
        <v>2</v>
      </c>
      <c r="D1" s="45" t="s">
        <v>3</v>
      </c>
      <c r="E1" s="45" t="s">
        <v>48</v>
      </c>
      <c r="F1" s="45"/>
      <c r="G1" s="45"/>
      <c r="H1" s="45"/>
      <c r="I1" s="45"/>
      <c r="J1" s="45"/>
      <c r="K1" s="45"/>
      <c r="L1" s="45"/>
      <c r="M1" s="45"/>
      <c r="N1" s="45" t="s">
        <v>48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 t="s">
        <v>48</v>
      </c>
      <c r="AA1" s="45"/>
      <c r="AB1" s="45"/>
      <c r="AC1" s="45"/>
      <c r="AD1" s="45"/>
      <c r="AE1" s="45"/>
      <c r="AF1" s="45"/>
      <c r="AG1" s="45"/>
      <c r="AH1" s="45"/>
      <c r="AI1" s="45"/>
      <c r="AJ1" s="45" t="s">
        <v>54</v>
      </c>
      <c r="AK1" s="45"/>
      <c r="AL1" s="45"/>
    </row>
    <row r="2" spans="1:41" s="3" customFormat="1" x14ac:dyDescent="0.25">
      <c r="A2" s="45"/>
      <c r="B2" s="45"/>
      <c r="C2" s="45"/>
      <c r="D2" s="45"/>
      <c r="E2" s="5">
        <v>45658</v>
      </c>
      <c r="F2" s="5">
        <v>45659</v>
      </c>
      <c r="G2" s="5">
        <v>45660</v>
      </c>
      <c r="H2" s="5">
        <v>45661</v>
      </c>
      <c r="I2" s="5">
        <v>45662</v>
      </c>
      <c r="J2" s="5">
        <v>45663</v>
      </c>
      <c r="K2" s="5">
        <v>45664</v>
      </c>
      <c r="L2" s="5">
        <v>45665</v>
      </c>
      <c r="M2" s="5">
        <v>45666</v>
      </c>
      <c r="N2" s="5">
        <v>45667</v>
      </c>
      <c r="O2" s="5">
        <v>45668</v>
      </c>
      <c r="P2" s="5">
        <v>45669</v>
      </c>
      <c r="Q2" s="5">
        <v>45670</v>
      </c>
      <c r="R2" s="5">
        <v>45671</v>
      </c>
      <c r="S2" s="5">
        <v>45672</v>
      </c>
      <c r="T2" s="5">
        <v>45673</v>
      </c>
      <c r="U2" s="5">
        <v>45674</v>
      </c>
      <c r="V2" s="5">
        <v>45675</v>
      </c>
      <c r="W2" s="5">
        <v>45676</v>
      </c>
      <c r="X2" s="5">
        <v>45677</v>
      </c>
      <c r="Y2" s="5">
        <v>45678</v>
      </c>
      <c r="Z2" s="5">
        <v>45679</v>
      </c>
      <c r="AA2" s="5">
        <v>45680</v>
      </c>
      <c r="AB2" s="5">
        <v>45681</v>
      </c>
      <c r="AC2" s="5">
        <v>45682</v>
      </c>
      <c r="AD2" s="5">
        <v>45683</v>
      </c>
      <c r="AE2" s="5">
        <v>45684</v>
      </c>
      <c r="AF2" s="5">
        <v>45685</v>
      </c>
      <c r="AG2" s="5">
        <v>45686</v>
      </c>
      <c r="AH2" s="5">
        <v>45687</v>
      </c>
      <c r="AI2" s="5">
        <v>45688</v>
      </c>
      <c r="AJ2" s="5" t="s">
        <v>51</v>
      </c>
      <c r="AK2" s="4" t="s">
        <v>53</v>
      </c>
      <c r="AL2" s="4" t="s">
        <v>52</v>
      </c>
    </row>
    <row r="3" spans="1:41" x14ac:dyDescent="0.25">
      <c r="A3" t="s">
        <v>10</v>
      </c>
      <c r="B3">
        <v>4</v>
      </c>
      <c r="C3" t="s">
        <v>7</v>
      </c>
      <c r="D3" t="s">
        <v>11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 t="s">
        <v>51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53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53</v>
      </c>
      <c r="AE3" t="s">
        <v>51</v>
      </c>
      <c r="AF3" t="s">
        <v>51</v>
      </c>
      <c r="AG3" t="s">
        <v>51</v>
      </c>
      <c r="AH3" t="s">
        <v>52</v>
      </c>
      <c r="AI3" t="s">
        <v>53</v>
      </c>
      <c r="AJ3">
        <f>COUNTIF(E3:AI3, "Present")</f>
        <v>27</v>
      </c>
      <c r="AK3">
        <f>COUNTIF(E3:AI3, "Escape")</f>
        <v>3</v>
      </c>
      <c r="AL3">
        <f>COUNTIF(F3:AJ3, "Absent")</f>
        <v>1</v>
      </c>
      <c r="AN3" s="1" t="s">
        <v>60</v>
      </c>
      <c r="AO3" s="1" t="s">
        <v>55</v>
      </c>
    </row>
    <row r="4" spans="1:41" x14ac:dyDescent="0.25">
      <c r="A4" t="s">
        <v>15</v>
      </c>
      <c r="B4">
        <v>4</v>
      </c>
      <c r="C4" t="s">
        <v>8</v>
      </c>
      <c r="D4" t="s">
        <v>11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  <c r="N4" t="s">
        <v>51</v>
      </c>
      <c r="O4" t="s">
        <v>51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53</v>
      </c>
      <c r="AE4" t="s">
        <v>53</v>
      </c>
      <c r="AF4" t="s">
        <v>51</v>
      </c>
      <c r="AG4" t="s">
        <v>51</v>
      </c>
      <c r="AH4" t="s">
        <v>52</v>
      </c>
      <c r="AI4" t="s">
        <v>51</v>
      </c>
      <c r="AJ4">
        <f t="shared" ref="AJ4:AJ7" si="0">COUNTIF(E4:AI4, "Present")</f>
        <v>27</v>
      </c>
      <c r="AK4">
        <f t="shared" ref="AK4:AK7" si="1">COUNTIF(E4:AI4, "Escape")</f>
        <v>2</v>
      </c>
      <c r="AL4">
        <f t="shared" ref="AL4:AL7" si="2">COUNTIF(F4:AJ4, "Absent")</f>
        <v>2</v>
      </c>
      <c r="AN4" t="s">
        <v>56</v>
      </c>
      <c r="AO4">
        <f>SUM(AJ3:AL3)</f>
        <v>31</v>
      </c>
    </row>
    <row r="5" spans="1:41" x14ac:dyDescent="0.25">
      <c r="A5" t="s">
        <v>18</v>
      </c>
      <c r="B5">
        <v>4</v>
      </c>
      <c r="C5" t="s">
        <v>7</v>
      </c>
      <c r="D5" t="s">
        <v>11</v>
      </c>
      <c r="E5" t="s">
        <v>51</v>
      </c>
      <c r="F5" t="s">
        <v>51</v>
      </c>
      <c r="G5" t="s">
        <v>51</v>
      </c>
      <c r="H5" t="s">
        <v>52</v>
      </c>
      <c r="I5" t="s">
        <v>51</v>
      </c>
      <c r="J5" t="s">
        <v>51</v>
      </c>
      <c r="K5" t="s">
        <v>51</v>
      </c>
      <c r="L5" t="s">
        <v>51</v>
      </c>
      <c r="M5" t="s">
        <v>52</v>
      </c>
      <c r="N5" t="s">
        <v>51</v>
      </c>
      <c r="O5" t="s">
        <v>51</v>
      </c>
      <c r="P5" t="s">
        <v>51</v>
      </c>
      <c r="Q5" t="s">
        <v>52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52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53</v>
      </c>
      <c r="AH5" t="s">
        <v>51</v>
      </c>
      <c r="AI5" t="s">
        <v>51</v>
      </c>
      <c r="AJ5">
        <f t="shared" si="0"/>
        <v>26</v>
      </c>
      <c r="AK5">
        <f t="shared" si="1"/>
        <v>1</v>
      </c>
      <c r="AL5">
        <f t="shared" si="2"/>
        <v>4</v>
      </c>
      <c r="AN5" t="s">
        <v>57</v>
      </c>
      <c r="AO5">
        <f>SUM(AJ11:AL11)</f>
        <v>31</v>
      </c>
    </row>
    <row r="6" spans="1:41" x14ac:dyDescent="0.25">
      <c r="A6" t="s">
        <v>20</v>
      </c>
      <c r="B6">
        <v>4</v>
      </c>
      <c r="C6" t="s">
        <v>8</v>
      </c>
      <c r="D6" t="s">
        <v>11</v>
      </c>
      <c r="E6" t="s">
        <v>52</v>
      </c>
      <c r="F6" t="s">
        <v>51</v>
      </c>
      <c r="G6" t="s">
        <v>51</v>
      </c>
      <c r="H6" t="s">
        <v>51</v>
      </c>
      <c r="I6" t="s">
        <v>51</v>
      </c>
      <c r="J6" t="s">
        <v>53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>
        <f t="shared" si="0"/>
        <v>29</v>
      </c>
      <c r="AK6">
        <f t="shared" si="1"/>
        <v>1</v>
      </c>
      <c r="AL6">
        <f t="shared" si="2"/>
        <v>0</v>
      </c>
      <c r="AN6" t="s">
        <v>58</v>
      </c>
      <c r="AO6">
        <f>SUM(AJ17:AL17)</f>
        <v>31</v>
      </c>
    </row>
    <row r="7" spans="1:41" x14ac:dyDescent="0.25">
      <c r="A7" t="s">
        <v>23</v>
      </c>
      <c r="B7">
        <v>4</v>
      </c>
      <c r="C7" t="s">
        <v>7</v>
      </c>
      <c r="D7" t="s">
        <v>11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53</v>
      </c>
      <c r="N7" t="s">
        <v>51</v>
      </c>
      <c r="O7" t="s">
        <v>51</v>
      </c>
      <c r="P7" t="s">
        <v>52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53</v>
      </c>
      <c r="AF7" t="s">
        <v>53</v>
      </c>
      <c r="AG7" t="s">
        <v>53</v>
      </c>
      <c r="AH7" t="s">
        <v>53</v>
      </c>
      <c r="AI7" t="s">
        <v>22</v>
      </c>
      <c r="AJ7">
        <f t="shared" si="0"/>
        <v>24</v>
      </c>
      <c r="AK7">
        <f t="shared" si="1"/>
        <v>5</v>
      </c>
      <c r="AL7">
        <f t="shared" si="2"/>
        <v>1</v>
      </c>
      <c r="AN7" t="s">
        <v>59</v>
      </c>
      <c r="AO7">
        <f>SUM(AJ25:AL25)</f>
        <v>31</v>
      </c>
    </row>
    <row r="9" spans="1:41" x14ac:dyDescent="0.25">
      <c r="A9" t="s">
        <v>24</v>
      </c>
      <c r="B9">
        <v>5</v>
      </c>
      <c r="C9" t="s">
        <v>7</v>
      </c>
      <c r="D9" t="s">
        <v>16</v>
      </c>
      <c r="E9" t="s">
        <v>51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  <c r="K9" t="s">
        <v>51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53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53</v>
      </c>
      <c r="AE9" t="s">
        <v>51</v>
      </c>
      <c r="AF9" t="s">
        <v>51</v>
      </c>
      <c r="AG9" t="s">
        <v>51</v>
      </c>
      <c r="AH9" t="s">
        <v>52</v>
      </c>
      <c r="AI9" t="s">
        <v>53</v>
      </c>
      <c r="AJ9">
        <f>COUNTIF(E9:AI9, "Present")</f>
        <v>27</v>
      </c>
      <c r="AK9">
        <f>COUNTIF(E9:AI9, "Escape")</f>
        <v>3</v>
      </c>
      <c r="AL9">
        <f>COUNTIF(F9:AJ9, "Absent")</f>
        <v>1</v>
      </c>
    </row>
    <row r="10" spans="1:41" x14ac:dyDescent="0.25">
      <c r="A10" t="s">
        <v>27</v>
      </c>
      <c r="B10">
        <v>5</v>
      </c>
      <c r="C10" t="s">
        <v>8</v>
      </c>
      <c r="D10" t="s">
        <v>16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52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53</v>
      </c>
      <c r="AD10" t="s">
        <v>53</v>
      </c>
      <c r="AE10" t="s">
        <v>53</v>
      </c>
      <c r="AF10" t="s">
        <v>51</v>
      </c>
      <c r="AG10" t="s">
        <v>51</v>
      </c>
      <c r="AH10" t="s">
        <v>52</v>
      </c>
      <c r="AI10" t="s">
        <v>51</v>
      </c>
      <c r="AJ10">
        <f t="shared" ref="AJ10:AJ13" si="3">COUNTIF(E10:AI10, "Present")</f>
        <v>26</v>
      </c>
      <c r="AK10">
        <f t="shared" ref="AK10:AK13" si="4">COUNTIF(E10:AI10, "Escape")</f>
        <v>3</v>
      </c>
      <c r="AL10">
        <f t="shared" ref="AL10:AL13" si="5">COUNTIF(F10:AJ10, "Absent")</f>
        <v>2</v>
      </c>
    </row>
    <row r="11" spans="1:41" x14ac:dyDescent="0.25">
      <c r="A11" t="s">
        <v>28</v>
      </c>
      <c r="B11">
        <v>5</v>
      </c>
      <c r="C11" t="s">
        <v>7</v>
      </c>
      <c r="D11" t="s">
        <v>16</v>
      </c>
      <c r="E11" t="s">
        <v>51</v>
      </c>
      <c r="F11" t="s">
        <v>51</v>
      </c>
      <c r="G11" t="s">
        <v>51</v>
      </c>
      <c r="H11" t="s">
        <v>52</v>
      </c>
      <c r="I11" t="s">
        <v>51</v>
      </c>
      <c r="J11" t="s">
        <v>51</v>
      </c>
      <c r="K11" t="s">
        <v>51</v>
      </c>
      <c r="L11" t="s">
        <v>51</v>
      </c>
      <c r="M11" t="s">
        <v>52</v>
      </c>
      <c r="N11" t="s">
        <v>51</v>
      </c>
      <c r="O11" t="s">
        <v>51</v>
      </c>
      <c r="P11" t="s">
        <v>51</v>
      </c>
      <c r="Q11" t="s">
        <v>52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51</v>
      </c>
      <c r="AA11" t="s">
        <v>52</v>
      </c>
      <c r="AB11" t="s">
        <v>51</v>
      </c>
      <c r="AC11" t="s">
        <v>51</v>
      </c>
      <c r="AD11" t="s">
        <v>52</v>
      </c>
      <c r="AE11" t="s">
        <v>51</v>
      </c>
      <c r="AF11" t="s">
        <v>51</v>
      </c>
      <c r="AG11" t="s">
        <v>53</v>
      </c>
      <c r="AH11" t="s">
        <v>51</v>
      </c>
      <c r="AI11" t="s">
        <v>51</v>
      </c>
      <c r="AJ11">
        <f t="shared" si="3"/>
        <v>25</v>
      </c>
      <c r="AK11">
        <f t="shared" si="4"/>
        <v>1</v>
      </c>
      <c r="AL11">
        <f t="shared" si="5"/>
        <v>5</v>
      </c>
    </row>
    <row r="12" spans="1:41" x14ac:dyDescent="0.25">
      <c r="A12" t="s">
        <v>29</v>
      </c>
      <c r="B12">
        <v>5</v>
      </c>
      <c r="C12" t="s">
        <v>8</v>
      </c>
      <c r="D12" t="s">
        <v>16</v>
      </c>
      <c r="E12" t="s">
        <v>52</v>
      </c>
      <c r="F12" t="s">
        <v>51</v>
      </c>
      <c r="G12" t="s">
        <v>51</v>
      </c>
      <c r="H12" t="s">
        <v>51</v>
      </c>
      <c r="I12" t="s">
        <v>51</v>
      </c>
      <c r="J12" t="s">
        <v>53</v>
      </c>
      <c r="K12" t="s">
        <v>51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51</v>
      </c>
      <c r="Z12" t="s">
        <v>51</v>
      </c>
      <c r="AA12" t="s">
        <v>51</v>
      </c>
      <c r="AB12" t="s">
        <v>51</v>
      </c>
      <c r="AC12" t="s">
        <v>22</v>
      </c>
      <c r="AJ12">
        <f t="shared" si="3"/>
        <v>22</v>
      </c>
      <c r="AK12">
        <f t="shared" si="4"/>
        <v>1</v>
      </c>
      <c r="AL12">
        <f t="shared" si="5"/>
        <v>0</v>
      </c>
    </row>
    <row r="13" spans="1:41" x14ac:dyDescent="0.25">
      <c r="A13" t="s">
        <v>30</v>
      </c>
      <c r="B13">
        <v>5</v>
      </c>
      <c r="C13" t="s">
        <v>7</v>
      </c>
      <c r="D13" t="s">
        <v>16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53</v>
      </c>
      <c r="N13" t="s">
        <v>51</v>
      </c>
      <c r="O13" t="s">
        <v>51</v>
      </c>
      <c r="P13" t="s">
        <v>52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53</v>
      </c>
      <c r="AF13" t="s">
        <v>53</v>
      </c>
      <c r="AG13" t="s">
        <v>53</v>
      </c>
      <c r="AH13" t="s">
        <v>53</v>
      </c>
      <c r="AI13" t="s">
        <v>22</v>
      </c>
      <c r="AJ13">
        <f t="shared" si="3"/>
        <v>24</v>
      </c>
      <c r="AK13">
        <f t="shared" si="4"/>
        <v>5</v>
      </c>
      <c r="AL13">
        <f t="shared" si="5"/>
        <v>1</v>
      </c>
    </row>
    <row r="14" spans="1:41" x14ac:dyDescent="0.25">
      <c r="A14" t="s">
        <v>31</v>
      </c>
      <c r="B14">
        <v>6</v>
      </c>
      <c r="C14" t="s">
        <v>7</v>
      </c>
      <c r="D14" t="s">
        <v>16</v>
      </c>
    </row>
    <row r="16" spans="1:41" x14ac:dyDescent="0.25">
      <c r="A16" t="s">
        <v>32</v>
      </c>
      <c r="B16">
        <v>6</v>
      </c>
      <c r="C16" t="s">
        <v>8</v>
      </c>
      <c r="D16" t="s">
        <v>19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51</v>
      </c>
      <c r="P16" t="s">
        <v>51</v>
      </c>
      <c r="Q16" t="s">
        <v>51</v>
      </c>
      <c r="R16" t="s">
        <v>51</v>
      </c>
      <c r="S16" t="s">
        <v>51</v>
      </c>
      <c r="T16" t="s">
        <v>51</v>
      </c>
      <c r="U16" t="s">
        <v>53</v>
      </c>
      <c r="V16" t="s">
        <v>51</v>
      </c>
      <c r="W16" t="s">
        <v>51</v>
      </c>
      <c r="X16" t="s">
        <v>51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53</v>
      </c>
      <c r="AE16" t="s">
        <v>51</v>
      </c>
      <c r="AF16" t="s">
        <v>51</v>
      </c>
      <c r="AG16" t="s">
        <v>51</v>
      </c>
      <c r="AH16" t="s">
        <v>52</v>
      </c>
      <c r="AI16" t="s">
        <v>53</v>
      </c>
      <c r="AJ16">
        <f>COUNTIF(E16:AI16, "Present")</f>
        <v>27</v>
      </c>
      <c r="AK16">
        <f>COUNTIF(E16:AI16, "Escape")</f>
        <v>3</v>
      </c>
      <c r="AL16">
        <f>COUNTIF(F16:AJ16, "Absent")</f>
        <v>1</v>
      </c>
    </row>
    <row r="17" spans="1:38" x14ac:dyDescent="0.25">
      <c r="A17" t="s">
        <v>34</v>
      </c>
      <c r="B17">
        <v>6</v>
      </c>
      <c r="C17" t="s">
        <v>9</v>
      </c>
      <c r="D17" t="s">
        <v>19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51</v>
      </c>
      <c r="L17" t="s">
        <v>51</v>
      </c>
      <c r="M17" t="s">
        <v>52</v>
      </c>
      <c r="N17" t="s">
        <v>51</v>
      </c>
      <c r="O17" t="s">
        <v>51</v>
      </c>
      <c r="P17" t="s">
        <v>51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51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 t="s">
        <v>51</v>
      </c>
      <c r="AC17" t="s">
        <v>53</v>
      </c>
      <c r="AD17" t="s">
        <v>53</v>
      </c>
      <c r="AE17" t="s">
        <v>53</v>
      </c>
      <c r="AF17" t="s">
        <v>51</v>
      </c>
      <c r="AG17" t="s">
        <v>51</v>
      </c>
      <c r="AH17" t="s">
        <v>52</v>
      </c>
      <c r="AI17" t="s">
        <v>51</v>
      </c>
      <c r="AJ17">
        <f t="shared" ref="AJ17:AJ20" si="6">COUNTIF(E17:AI17, "Present")</f>
        <v>26</v>
      </c>
      <c r="AK17">
        <f t="shared" ref="AK17:AK20" si="7">COUNTIF(E17:AI17, "Escape")</f>
        <v>3</v>
      </c>
      <c r="AL17">
        <f t="shared" ref="AL17:AL20" si="8">COUNTIF(F17:AJ17, "Absent")</f>
        <v>2</v>
      </c>
    </row>
    <row r="18" spans="1:38" x14ac:dyDescent="0.25">
      <c r="A18" t="s">
        <v>36</v>
      </c>
      <c r="B18">
        <v>6</v>
      </c>
      <c r="C18" t="s">
        <v>7</v>
      </c>
      <c r="D18" t="s">
        <v>19</v>
      </c>
      <c r="E18" t="s">
        <v>51</v>
      </c>
      <c r="F18" t="s">
        <v>51</v>
      </c>
      <c r="G18" t="s">
        <v>51</v>
      </c>
      <c r="H18" t="s">
        <v>52</v>
      </c>
      <c r="I18" t="s">
        <v>51</v>
      </c>
      <c r="J18" t="s">
        <v>51</v>
      </c>
      <c r="K18" t="s">
        <v>51</v>
      </c>
      <c r="L18" t="s">
        <v>51</v>
      </c>
      <c r="M18" t="s">
        <v>52</v>
      </c>
      <c r="N18" t="s">
        <v>51</v>
      </c>
      <c r="O18" t="s">
        <v>51</v>
      </c>
      <c r="P18" t="s">
        <v>51</v>
      </c>
      <c r="Q18" t="s">
        <v>52</v>
      </c>
      <c r="R18" t="s">
        <v>51</v>
      </c>
      <c r="S18" t="s">
        <v>51</v>
      </c>
      <c r="T18" t="s">
        <v>51</v>
      </c>
      <c r="U18" t="s">
        <v>51</v>
      </c>
      <c r="V18" t="s">
        <v>51</v>
      </c>
      <c r="W18" t="s">
        <v>51</v>
      </c>
      <c r="X18" t="s">
        <v>51</v>
      </c>
      <c r="Y18" t="s">
        <v>51</v>
      </c>
      <c r="Z18" t="s">
        <v>51</v>
      </c>
      <c r="AA18" t="s">
        <v>52</v>
      </c>
      <c r="AB18" t="s">
        <v>51</v>
      </c>
      <c r="AC18" t="s">
        <v>51</v>
      </c>
      <c r="AD18" t="s">
        <v>52</v>
      </c>
      <c r="AE18" t="s">
        <v>51</v>
      </c>
      <c r="AF18" t="s">
        <v>51</v>
      </c>
      <c r="AG18" t="s">
        <v>53</v>
      </c>
      <c r="AH18" t="s">
        <v>51</v>
      </c>
      <c r="AI18" t="s">
        <v>51</v>
      </c>
      <c r="AJ18">
        <f t="shared" si="6"/>
        <v>25</v>
      </c>
      <c r="AK18">
        <f t="shared" si="7"/>
        <v>1</v>
      </c>
      <c r="AL18">
        <f t="shared" si="8"/>
        <v>5</v>
      </c>
    </row>
    <row r="19" spans="1:38" x14ac:dyDescent="0.25">
      <c r="A19" t="s">
        <v>37</v>
      </c>
      <c r="B19">
        <v>6</v>
      </c>
      <c r="C19" t="s">
        <v>8</v>
      </c>
      <c r="D19" t="s">
        <v>19</v>
      </c>
      <c r="E19" t="s">
        <v>52</v>
      </c>
      <c r="F19" t="s">
        <v>51</v>
      </c>
      <c r="G19" t="s">
        <v>51</v>
      </c>
      <c r="H19" t="s">
        <v>51</v>
      </c>
      <c r="I19" t="s">
        <v>51</v>
      </c>
      <c r="J19" t="s">
        <v>53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 t="s">
        <v>51</v>
      </c>
      <c r="U19" t="s">
        <v>51</v>
      </c>
      <c r="V19" t="s">
        <v>51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>
        <f t="shared" si="6"/>
        <v>29</v>
      </c>
      <c r="AK19">
        <f t="shared" si="7"/>
        <v>1</v>
      </c>
      <c r="AL19">
        <f t="shared" si="8"/>
        <v>0</v>
      </c>
    </row>
    <row r="20" spans="1:38" x14ac:dyDescent="0.25">
      <c r="A20" t="s">
        <v>38</v>
      </c>
      <c r="B20">
        <v>6</v>
      </c>
      <c r="C20" t="s">
        <v>9</v>
      </c>
      <c r="D20" t="s">
        <v>19</v>
      </c>
      <c r="E20" t="s">
        <v>51</v>
      </c>
      <c r="F20" t="s">
        <v>51</v>
      </c>
      <c r="G20" t="s">
        <v>51</v>
      </c>
      <c r="H20" t="s">
        <v>51</v>
      </c>
      <c r="I20" t="s">
        <v>51</v>
      </c>
      <c r="J20" t="s">
        <v>51</v>
      </c>
      <c r="K20" t="s">
        <v>51</v>
      </c>
      <c r="L20" t="s">
        <v>51</v>
      </c>
      <c r="M20" t="s">
        <v>53</v>
      </c>
      <c r="N20" t="s">
        <v>51</v>
      </c>
      <c r="O20" t="s">
        <v>51</v>
      </c>
      <c r="P20" t="s">
        <v>52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53</v>
      </c>
      <c r="AF20" t="s">
        <v>53</v>
      </c>
      <c r="AG20" t="s">
        <v>53</v>
      </c>
      <c r="AH20" t="s">
        <v>53</v>
      </c>
      <c r="AI20" t="s">
        <v>22</v>
      </c>
      <c r="AJ20">
        <f t="shared" si="6"/>
        <v>24</v>
      </c>
      <c r="AK20">
        <f t="shared" si="7"/>
        <v>5</v>
      </c>
      <c r="AL20">
        <f t="shared" si="8"/>
        <v>1</v>
      </c>
    </row>
    <row r="21" spans="1:38" x14ac:dyDescent="0.25">
      <c r="A21" t="s">
        <v>39</v>
      </c>
      <c r="B21">
        <v>6</v>
      </c>
      <c r="C21" t="s">
        <v>7</v>
      </c>
      <c r="D21" t="s">
        <v>19</v>
      </c>
      <c r="E21" t="s">
        <v>51</v>
      </c>
      <c r="F21" t="s">
        <v>51</v>
      </c>
      <c r="G21" t="s">
        <v>51</v>
      </c>
      <c r="H21" t="s">
        <v>51</v>
      </c>
      <c r="I21" t="s">
        <v>51</v>
      </c>
      <c r="J21" t="s">
        <v>51</v>
      </c>
      <c r="K21" t="s">
        <v>51</v>
      </c>
      <c r="L21" t="s">
        <v>51</v>
      </c>
      <c r="M21" t="s">
        <v>53</v>
      </c>
      <c r="N21" t="s">
        <v>51</v>
      </c>
      <c r="O21" t="s">
        <v>51</v>
      </c>
      <c r="P21" t="s">
        <v>52</v>
      </c>
      <c r="Q21" t="s">
        <v>51</v>
      </c>
      <c r="R21" t="s">
        <v>51</v>
      </c>
      <c r="S21" t="s">
        <v>51</v>
      </c>
      <c r="T21" t="s">
        <v>51</v>
      </c>
      <c r="U21" t="s">
        <v>51</v>
      </c>
      <c r="V21" t="s">
        <v>51</v>
      </c>
      <c r="W21" t="s">
        <v>51</v>
      </c>
      <c r="X21" t="s">
        <v>51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 t="s">
        <v>52</v>
      </c>
      <c r="AE21" t="s">
        <v>53</v>
      </c>
      <c r="AF21" t="s">
        <v>53</v>
      </c>
      <c r="AG21" t="s">
        <v>53</v>
      </c>
      <c r="AH21" t="s">
        <v>53</v>
      </c>
      <c r="AI21" t="s">
        <v>22</v>
      </c>
      <c r="AJ21">
        <f t="shared" ref="AJ21" si="9">COUNTIF(E21:AI21, "Present")</f>
        <v>23</v>
      </c>
      <c r="AK21">
        <f t="shared" ref="AK21" si="10">COUNTIF(E21:AI21, "Escape")</f>
        <v>5</v>
      </c>
      <c r="AL21">
        <f t="shared" ref="AL21" si="11">COUNTIF(F21:AJ21, "Absent")</f>
        <v>2</v>
      </c>
    </row>
    <row r="23" spans="1:38" x14ac:dyDescent="0.25">
      <c r="A23" t="s">
        <v>40</v>
      </c>
      <c r="B23">
        <v>7</v>
      </c>
      <c r="C23" t="s">
        <v>7</v>
      </c>
      <c r="D23" t="s">
        <v>21</v>
      </c>
      <c r="E23" t="s">
        <v>51</v>
      </c>
      <c r="F23" t="s">
        <v>51</v>
      </c>
      <c r="G23" t="s">
        <v>51</v>
      </c>
      <c r="H23" t="s">
        <v>51</v>
      </c>
      <c r="I23" t="s">
        <v>51</v>
      </c>
      <c r="J23" t="s">
        <v>51</v>
      </c>
      <c r="K23" t="s">
        <v>51</v>
      </c>
      <c r="L23" t="s">
        <v>51</v>
      </c>
      <c r="M23" t="s">
        <v>52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51</v>
      </c>
      <c r="W23" t="s">
        <v>51</v>
      </c>
      <c r="X23" t="s">
        <v>51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 t="s">
        <v>53</v>
      </c>
      <c r="AE23" t="s">
        <v>53</v>
      </c>
      <c r="AF23" t="s">
        <v>51</v>
      </c>
      <c r="AG23" t="s">
        <v>51</v>
      </c>
      <c r="AH23" t="s">
        <v>52</v>
      </c>
      <c r="AI23" t="s">
        <v>51</v>
      </c>
      <c r="AJ23">
        <f t="shared" ref="AJ23:AJ28" si="12">COUNTIF(E23:AI23, "Present")</f>
        <v>27</v>
      </c>
      <c r="AK23">
        <f t="shared" ref="AK23:AK28" si="13">COUNTIF(E23:AI23, "Escape")</f>
        <v>2</v>
      </c>
      <c r="AL23">
        <f t="shared" ref="AL23:AL28" si="14">COUNTIF(F23:AJ23, "Absent")</f>
        <v>2</v>
      </c>
    </row>
    <row r="24" spans="1:38" x14ac:dyDescent="0.25">
      <c r="A24" t="s">
        <v>42</v>
      </c>
      <c r="B24">
        <v>7</v>
      </c>
      <c r="C24" t="s">
        <v>8</v>
      </c>
      <c r="D24" t="s">
        <v>21</v>
      </c>
      <c r="E24" t="s">
        <v>51</v>
      </c>
      <c r="F24" t="s">
        <v>51</v>
      </c>
      <c r="G24" t="s">
        <v>51</v>
      </c>
      <c r="H24" t="s">
        <v>52</v>
      </c>
      <c r="I24" t="s">
        <v>51</v>
      </c>
      <c r="J24" t="s">
        <v>51</v>
      </c>
      <c r="K24" t="s">
        <v>51</v>
      </c>
      <c r="L24" t="s">
        <v>51</v>
      </c>
      <c r="M24" t="s">
        <v>52</v>
      </c>
      <c r="N24" t="s">
        <v>51</v>
      </c>
      <c r="O24" t="s">
        <v>51</v>
      </c>
      <c r="P24" t="s">
        <v>51</v>
      </c>
      <c r="Q24" t="s">
        <v>52</v>
      </c>
      <c r="R24" t="s">
        <v>51</v>
      </c>
      <c r="S24" t="s">
        <v>51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51</v>
      </c>
      <c r="AA24" t="s">
        <v>52</v>
      </c>
      <c r="AB24" t="s">
        <v>51</v>
      </c>
      <c r="AC24" t="s">
        <v>51</v>
      </c>
      <c r="AD24" t="s">
        <v>52</v>
      </c>
      <c r="AE24" t="s">
        <v>51</v>
      </c>
      <c r="AF24" t="s">
        <v>53</v>
      </c>
      <c r="AG24" t="s">
        <v>53</v>
      </c>
      <c r="AH24" t="s">
        <v>51</v>
      </c>
      <c r="AI24" t="s">
        <v>51</v>
      </c>
      <c r="AJ24">
        <f t="shared" si="12"/>
        <v>24</v>
      </c>
      <c r="AK24">
        <f t="shared" si="13"/>
        <v>2</v>
      </c>
      <c r="AL24">
        <f t="shared" si="14"/>
        <v>5</v>
      </c>
    </row>
    <row r="25" spans="1:38" x14ac:dyDescent="0.25">
      <c r="A25" t="s">
        <v>43</v>
      </c>
      <c r="B25">
        <v>7</v>
      </c>
      <c r="C25" t="s">
        <v>9</v>
      </c>
      <c r="D25" t="s">
        <v>21</v>
      </c>
      <c r="E25" t="s">
        <v>51</v>
      </c>
      <c r="F25" t="s">
        <v>51</v>
      </c>
      <c r="G25" t="s">
        <v>51</v>
      </c>
      <c r="H25" t="s">
        <v>51</v>
      </c>
      <c r="I25" t="s">
        <v>51</v>
      </c>
      <c r="J25" t="s">
        <v>51</v>
      </c>
      <c r="K25" t="s">
        <v>51</v>
      </c>
      <c r="L25" t="s">
        <v>51</v>
      </c>
      <c r="M25" t="s">
        <v>52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51</v>
      </c>
      <c r="W25" t="s">
        <v>51</v>
      </c>
      <c r="X25" t="s">
        <v>51</v>
      </c>
      <c r="Y25" t="s">
        <v>51</v>
      </c>
      <c r="Z25" t="s">
        <v>51</v>
      </c>
      <c r="AA25" t="s">
        <v>51</v>
      </c>
      <c r="AB25" t="s">
        <v>51</v>
      </c>
      <c r="AC25" t="s">
        <v>53</v>
      </c>
      <c r="AD25" t="s">
        <v>53</v>
      </c>
      <c r="AE25" t="s">
        <v>53</v>
      </c>
      <c r="AF25" t="s">
        <v>51</v>
      </c>
      <c r="AG25" t="s">
        <v>51</v>
      </c>
      <c r="AH25" t="s">
        <v>52</v>
      </c>
      <c r="AI25" t="s">
        <v>51</v>
      </c>
      <c r="AJ25">
        <f t="shared" si="12"/>
        <v>26</v>
      </c>
      <c r="AK25">
        <f t="shared" si="13"/>
        <v>3</v>
      </c>
      <c r="AL25">
        <f t="shared" si="14"/>
        <v>2</v>
      </c>
    </row>
    <row r="26" spans="1:38" x14ac:dyDescent="0.25">
      <c r="A26" t="s">
        <v>44</v>
      </c>
      <c r="B26">
        <v>7</v>
      </c>
      <c r="C26" t="s">
        <v>7</v>
      </c>
      <c r="D26" t="s">
        <v>21</v>
      </c>
      <c r="E26" t="s">
        <v>51</v>
      </c>
      <c r="F26" t="s">
        <v>51</v>
      </c>
      <c r="G26" t="s">
        <v>51</v>
      </c>
      <c r="H26" t="s">
        <v>52</v>
      </c>
      <c r="I26" t="s">
        <v>51</v>
      </c>
      <c r="J26" t="s">
        <v>51</v>
      </c>
      <c r="K26" t="s">
        <v>51</v>
      </c>
      <c r="L26" t="s">
        <v>51</v>
      </c>
      <c r="M26" t="s">
        <v>52</v>
      </c>
      <c r="N26" t="s">
        <v>51</v>
      </c>
      <c r="O26" t="s">
        <v>51</v>
      </c>
      <c r="P26" t="s">
        <v>51</v>
      </c>
      <c r="Q26" t="s">
        <v>52</v>
      </c>
      <c r="R26" t="s">
        <v>51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51</v>
      </c>
      <c r="Y26" t="s">
        <v>51</v>
      </c>
      <c r="Z26" t="s">
        <v>51</v>
      </c>
      <c r="AA26" t="s">
        <v>52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53</v>
      </c>
      <c r="AH26" t="s">
        <v>51</v>
      </c>
      <c r="AI26" t="s">
        <v>51</v>
      </c>
      <c r="AJ26">
        <f t="shared" si="12"/>
        <v>26</v>
      </c>
      <c r="AK26">
        <f t="shared" si="13"/>
        <v>1</v>
      </c>
      <c r="AL26">
        <f t="shared" si="14"/>
        <v>4</v>
      </c>
    </row>
    <row r="27" spans="1:38" x14ac:dyDescent="0.25">
      <c r="A27" t="s">
        <v>45</v>
      </c>
      <c r="B27">
        <v>7</v>
      </c>
      <c r="C27" t="s">
        <v>8</v>
      </c>
      <c r="D27" t="s">
        <v>21</v>
      </c>
      <c r="E27" t="s">
        <v>51</v>
      </c>
      <c r="F27" t="s">
        <v>51</v>
      </c>
      <c r="G27" t="s">
        <v>51</v>
      </c>
      <c r="H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52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51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53</v>
      </c>
      <c r="AD27" t="s">
        <v>53</v>
      </c>
      <c r="AE27" t="s">
        <v>53</v>
      </c>
      <c r="AF27" t="s">
        <v>51</v>
      </c>
      <c r="AG27" t="s">
        <v>51</v>
      </c>
      <c r="AH27" t="s">
        <v>52</v>
      </c>
      <c r="AI27" t="s">
        <v>22</v>
      </c>
      <c r="AJ27">
        <f t="shared" si="12"/>
        <v>25</v>
      </c>
      <c r="AK27">
        <f t="shared" si="13"/>
        <v>3</v>
      </c>
      <c r="AL27">
        <f t="shared" si="14"/>
        <v>2</v>
      </c>
    </row>
    <row r="28" spans="1:38" x14ac:dyDescent="0.25">
      <c r="A28" t="s">
        <v>46</v>
      </c>
      <c r="B28">
        <v>7</v>
      </c>
      <c r="C28" t="s">
        <v>9</v>
      </c>
      <c r="D28" t="s">
        <v>21</v>
      </c>
      <c r="E28" t="s">
        <v>51</v>
      </c>
      <c r="F28" t="s">
        <v>51</v>
      </c>
      <c r="G28" t="s">
        <v>51</v>
      </c>
      <c r="H28" t="s">
        <v>52</v>
      </c>
      <c r="I28" t="s">
        <v>51</v>
      </c>
      <c r="J28" t="s">
        <v>51</v>
      </c>
      <c r="K28" t="s">
        <v>51</v>
      </c>
      <c r="L28" t="s">
        <v>51</v>
      </c>
      <c r="M28" t="s">
        <v>52</v>
      </c>
      <c r="N28" t="s">
        <v>51</v>
      </c>
      <c r="O28" t="s">
        <v>51</v>
      </c>
      <c r="P28" t="s">
        <v>51</v>
      </c>
      <c r="Q28" t="s">
        <v>52</v>
      </c>
      <c r="R28" t="s">
        <v>51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52</v>
      </c>
      <c r="AB28" t="s">
        <v>51</v>
      </c>
      <c r="AC28" t="s">
        <v>51</v>
      </c>
      <c r="AD28" t="s">
        <v>52</v>
      </c>
      <c r="AE28" t="s">
        <v>51</v>
      </c>
      <c r="AF28" t="s">
        <v>51</v>
      </c>
      <c r="AG28" t="s">
        <v>53</v>
      </c>
      <c r="AH28" t="s">
        <v>51</v>
      </c>
      <c r="AI28" t="s">
        <v>51</v>
      </c>
      <c r="AJ28">
        <f t="shared" si="12"/>
        <v>25</v>
      </c>
      <c r="AK28">
        <f t="shared" si="13"/>
        <v>1</v>
      </c>
      <c r="AL28">
        <f t="shared" si="14"/>
        <v>5</v>
      </c>
    </row>
    <row r="31" spans="1:38" x14ac:dyDescent="0.25">
      <c r="A31" s="1" t="s">
        <v>49</v>
      </c>
    </row>
    <row r="32" spans="1:38" x14ac:dyDescent="0.25">
      <c r="A32" t="s">
        <v>51</v>
      </c>
    </row>
    <row r="33" spans="1:1" x14ac:dyDescent="0.25">
      <c r="A33" t="s">
        <v>52</v>
      </c>
    </row>
    <row r="34" spans="1:1" x14ac:dyDescent="0.25">
      <c r="A34" t="s">
        <v>53</v>
      </c>
    </row>
    <row r="35" spans="1:1" x14ac:dyDescent="0.25">
      <c r="A35" t="s">
        <v>22</v>
      </c>
    </row>
  </sheetData>
  <sheetProtection algorithmName="SHA-512" hashValue="+ddPP/bsYGnDyIBVbVyjbc1cAnPoRBUKa1sBddWZMfBqSHUqocFJXmA8w6wZAJlV3FqqGmdM7aoLp/crF2SjMA==" saltValue="gIxc7K7o+d/BVHbukBwZNA==" spinCount="100000" sheet="1" objects="1" scenarios="1"/>
  <mergeCells count="8">
    <mergeCell ref="AJ1:AL1"/>
    <mergeCell ref="E1:M1"/>
    <mergeCell ref="N1:Y1"/>
    <mergeCell ref="Z1:AI1"/>
    <mergeCell ref="A1:A2"/>
    <mergeCell ref="B1:B2"/>
    <mergeCell ref="C1:C2"/>
    <mergeCell ref="D1:D2"/>
  </mergeCells>
  <phoneticPr fontId="2" type="noConversion"/>
  <dataValidations count="1">
    <dataValidation type="list" allowBlank="1" showInputMessage="1" showErrorMessage="1" sqref="E3:AI7 E9:AI13 E16:AI21 E23:AI28" xr:uid="{661E9C0E-25A7-45F8-B917-626784542555}">
      <formula1>$A$32:$A$35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BD80-8DEC-4632-9801-A19A67F505F0}">
  <sheetPr codeName="Sheet4"/>
  <dimension ref="A1:E34"/>
  <sheetViews>
    <sheetView workbookViewId="0">
      <pane xSplit="1" ySplit="2" topLeftCell="B10" activePane="bottomRight" state="frozen"/>
      <selection activeCell="B16" sqref="B16"/>
      <selection pane="topRight" activeCell="B16" sqref="B16"/>
      <selection pane="bottomLeft" activeCell="B16" sqref="B16"/>
      <selection pane="bottomRight" activeCell="G17" sqref="G17"/>
    </sheetView>
  </sheetViews>
  <sheetFormatPr defaultRowHeight="15" x14ac:dyDescent="0.25"/>
  <cols>
    <col min="1" max="1" width="9.85546875" customWidth="1"/>
    <col min="2" max="2" width="26.5703125" customWidth="1"/>
    <col min="3" max="3" width="30.7109375" customWidth="1"/>
    <col min="4" max="4" width="29.7109375" customWidth="1"/>
    <col min="5" max="5" width="29" customWidth="1"/>
  </cols>
  <sheetData>
    <row r="1" spans="1:5" x14ac:dyDescent="0.25">
      <c r="A1" s="46" t="s">
        <v>61</v>
      </c>
      <c r="B1" s="11" t="s">
        <v>64</v>
      </c>
      <c r="C1" s="11" t="s">
        <v>63</v>
      </c>
      <c r="D1" s="11" t="s">
        <v>62</v>
      </c>
      <c r="E1" s="11" t="s">
        <v>65</v>
      </c>
    </row>
    <row r="2" spans="1:5" x14ac:dyDescent="0.25">
      <c r="A2" s="46"/>
      <c r="B2" s="11" t="s">
        <v>11</v>
      </c>
      <c r="C2" s="11" t="s">
        <v>16</v>
      </c>
      <c r="D2" s="11" t="s">
        <v>19</v>
      </c>
      <c r="E2" s="11" t="s">
        <v>21</v>
      </c>
    </row>
    <row r="3" spans="1:5" x14ac:dyDescent="0.25">
      <c r="A3" s="12">
        <v>45658</v>
      </c>
      <c r="B3" s="8" t="s">
        <v>82</v>
      </c>
      <c r="C3" s="8" t="s">
        <v>82</v>
      </c>
      <c r="D3" s="8" t="s">
        <v>82</v>
      </c>
      <c r="E3" s="8" t="s">
        <v>82</v>
      </c>
    </row>
    <row r="4" spans="1:5" x14ac:dyDescent="0.25">
      <c r="A4" s="12">
        <v>45659</v>
      </c>
      <c r="B4" s="8" t="s">
        <v>66</v>
      </c>
      <c r="C4" s="8" t="s">
        <v>66</v>
      </c>
      <c r="D4" s="8" t="s">
        <v>66</v>
      </c>
      <c r="E4" s="8" t="s">
        <v>66</v>
      </c>
    </row>
    <row r="5" spans="1:5" x14ac:dyDescent="0.25">
      <c r="A5" s="12">
        <v>45660</v>
      </c>
      <c r="B5" s="8" t="s">
        <v>67</v>
      </c>
      <c r="C5" s="8" t="s">
        <v>67</v>
      </c>
      <c r="D5" s="8" t="s">
        <v>67</v>
      </c>
      <c r="E5" s="8" t="s">
        <v>67</v>
      </c>
    </row>
    <row r="6" spans="1:5" x14ac:dyDescent="0.25">
      <c r="A6" s="12">
        <v>45661</v>
      </c>
      <c r="B6" s="8" t="s">
        <v>68</v>
      </c>
      <c r="C6" s="8" t="s">
        <v>68</v>
      </c>
      <c r="D6" s="8" t="s">
        <v>68</v>
      </c>
      <c r="E6" s="8" t="s">
        <v>68</v>
      </c>
    </row>
    <row r="7" spans="1:5" x14ac:dyDescent="0.25">
      <c r="A7" s="12">
        <v>45662</v>
      </c>
      <c r="B7" s="8" t="s">
        <v>69</v>
      </c>
      <c r="C7" s="8" t="s">
        <v>69</v>
      </c>
      <c r="D7" s="8" t="s">
        <v>83</v>
      </c>
      <c r="E7" s="8" t="s">
        <v>84</v>
      </c>
    </row>
    <row r="8" spans="1:5" x14ac:dyDescent="0.25">
      <c r="A8" s="12">
        <v>45663</v>
      </c>
      <c r="B8" s="8" t="s">
        <v>70</v>
      </c>
      <c r="C8" s="8" t="s">
        <v>70</v>
      </c>
      <c r="D8" s="8" t="s">
        <v>70</v>
      </c>
      <c r="E8" s="8" t="s">
        <v>70</v>
      </c>
    </row>
    <row r="9" spans="1:5" x14ac:dyDescent="0.25">
      <c r="A9" s="12">
        <v>45664</v>
      </c>
      <c r="B9" s="8" t="s">
        <v>71</v>
      </c>
      <c r="C9" s="8" t="s">
        <v>71</v>
      </c>
      <c r="D9" s="8" t="s">
        <v>71</v>
      </c>
      <c r="E9" s="8" t="s">
        <v>71</v>
      </c>
    </row>
    <row r="10" spans="1:5" x14ac:dyDescent="0.25">
      <c r="A10" s="12">
        <v>45665</v>
      </c>
      <c r="B10" s="8" t="s">
        <v>72</v>
      </c>
      <c r="C10" s="8" t="s">
        <v>72</v>
      </c>
      <c r="D10" s="8" t="s">
        <v>72</v>
      </c>
      <c r="E10" s="8" t="s">
        <v>72</v>
      </c>
    </row>
    <row r="11" spans="1:5" x14ac:dyDescent="0.25">
      <c r="A11" s="12">
        <v>45666</v>
      </c>
      <c r="B11" s="8" t="s">
        <v>73</v>
      </c>
      <c r="C11" s="8" t="s">
        <v>73</v>
      </c>
      <c r="D11" s="8" t="s">
        <v>73</v>
      </c>
      <c r="E11" s="8" t="s">
        <v>73</v>
      </c>
    </row>
    <row r="12" spans="1:5" x14ac:dyDescent="0.25">
      <c r="A12" s="12">
        <v>45667</v>
      </c>
      <c r="B12" s="8" t="s">
        <v>67</v>
      </c>
      <c r="C12" s="8" t="s">
        <v>67</v>
      </c>
      <c r="D12" s="8" t="s">
        <v>67</v>
      </c>
      <c r="E12" s="8" t="s">
        <v>67</v>
      </c>
    </row>
    <row r="13" spans="1:5" x14ac:dyDescent="0.25">
      <c r="A13" s="12">
        <v>45668</v>
      </c>
      <c r="B13" s="8" t="s">
        <v>74</v>
      </c>
      <c r="C13" s="8" t="s">
        <v>74</v>
      </c>
      <c r="D13" s="8" t="s">
        <v>74</v>
      </c>
      <c r="E13" s="8" t="s">
        <v>74</v>
      </c>
    </row>
    <row r="14" spans="1:5" x14ac:dyDescent="0.25">
      <c r="A14" s="12">
        <v>45669</v>
      </c>
      <c r="B14" s="8" t="s">
        <v>69</v>
      </c>
      <c r="C14" s="8" t="s">
        <v>69</v>
      </c>
      <c r="D14" s="8" t="s">
        <v>83</v>
      </c>
      <c r="E14" s="8" t="s">
        <v>84</v>
      </c>
    </row>
    <row r="15" spans="1:5" x14ac:dyDescent="0.25">
      <c r="A15" s="12">
        <v>45670</v>
      </c>
      <c r="B15" s="8" t="s">
        <v>75</v>
      </c>
      <c r="C15" s="8" t="s">
        <v>75</v>
      </c>
      <c r="D15" s="8" t="s">
        <v>75</v>
      </c>
      <c r="E15" s="8" t="s">
        <v>75</v>
      </c>
    </row>
    <row r="16" spans="1:5" x14ac:dyDescent="0.25">
      <c r="A16" s="12">
        <v>45671</v>
      </c>
      <c r="B16" s="8" t="str" cm="1">
        <f t="array" aca="1" ref="B16" ca="1">_xlfn.XLOOKUP($A$16,'What''s Happening  '!$A$3:$A$1048576,_xlfn.XLOOKUP('Know Your Student'!$C$9,'What''s Happening  '!$B$2:$E$2,'What''s Happening  '!B3:E1048576))</f>
        <v>Ancient Egypt Studies</v>
      </c>
      <c r="C16" s="8"/>
      <c r="D16" s="8" t="s">
        <v>76</v>
      </c>
      <c r="E16" s="8" t="s">
        <v>76</v>
      </c>
    </row>
    <row r="17" spans="1:5" x14ac:dyDescent="0.25">
      <c r="A17" s="12">
        <v>45672</v>
      </c>
      <c r="B17" s="8" t="s">
        <v>71</v>
      </c>
      <c r="C17" s="8" t="s">
        <v>71</v>
      </c>
      <c r="D17" s="8" t="s">
        <v>71</v>
      </c>
      <c r="E17" s="8" t="s">
        <v>71</v>
      </c>
    </row>
    <row r="18" spans="1:5" x14ac:dyDescent="0.25">
      <c r="A18" s="12">
        <v>45673</v>
      </c>
      <c r="B18" s="8" t="s">
        <v>77</v>
      </c>
      <c r="C18" s="8" t="s">
        <v>77</v>
      </c>
      <c r="D18" s="8" t="s">
        <v>77</v>
      </c>
      <c r="E18" s="8" t="s">
        <v>77</v>
      </c>
    </row>
    <row r="19" spans="1:5" x14ac:dyDescent="0.25">
      <c r="A19" s="12">
        <v>45674</v>
      </c>
      <c r="B19" s="8" t="s">
        <v>67</v>
      </c>
      <c r="C19" s="8" t="s">
        <v>67</v>
      </c>
      <c r="D19" s="8" t="s">
        <v>67</v>
      </c>
      <c r="E19" s="8" t="s">
        <v>67</v>
      </c>
    </row>
    <row r="20" spans="1:5" x14ac:dyDescent="0.25">
      <c r="A20" s="12">
        <v>45675</v>
      </c>
      <c r="B20" s="8" t="s">
        <v>78</v>
      </c>
      <c r="C20" s="8" t="s">
        <v>78</v>
      </c>
      <c r="D20" s="8" t="s">
        <v>78</v>
      </c>
      <c r="E20" s="8" t="s">
        <v>78</v>
      </c>
    </row>
    <row r="21" spans="1:5" x14ac:dyDescent="0.25">
      <c r="A21" s="12">
        <v>45676</v>
      </c>
      <c r="B21" s="8" t="s">
        <v>79</v>
      </c>
      <c r="C21" s="8" t="s">
        <v>79</v>
      </c>
      <c r="D21" s="8" t="s">
        <v>79</v>
      </c>
      <c r="E21" s="8" t="s">
        <v>79</v>
      </c>
    </row>
    <row r="22" spans="1:5" x14ac:dyDescent="0.25">
      <c r="A22" s="12">
        <v>45677</v>
      </c>
      <c r="B22" s="8" t="s">
        <v>69</v>
      </c>
      <c r="C22" s="8" t="s">
        <v>69</v>
      </c>
      <c r="D22" s="8" t="s">
        <v>83</v>
      </c>
      <c r="E22" s="8" t="s">
        <v>84</v>
      </c>
    </row>
    <row r="23" spans="1:5" x14ac:dyDescent="0.25">
      <c r="A23" s="12">
        <v>45678</v>
      </c>
      <c r="B23" s="8" t="s">
        <v>80</v>
      </c>
      <c r="C23" s="8" t="s">
        <v>80</v>
      </c>
      <c r="D23" s="8" t="s">
        <v>80</v>
      </c>
      <c r="E23" s="8" t="s">
        <v>80</v>
      </c>
    </row>
    <row r="24" spans="1:5" x14ac:dyDescent="0.25">
      <c r="A24" s="12">
        <v>45679</v>
      </c>
      <c r="B24" s="8" t="s">
        <v>71</v>
      </c>
      <c r="C24" s="8" t="s">
        <v>71</v>
      </c>
      <c r="D24" s="8" t="s">
        <v>71</v>
      </c>
      <c r="E24" s="8" t="s">
        <v>71</v>
      </c>
    </row>
    <row r="25" spans="1:5" x14ac:dyDescent="0.25">
      <c r="A25" s="12">
        <v>45680</v>
      </c>
      <c r="B25" s="8" t="s">
        <v>81</v>
      </c>
      <c r="C25" s="8" t="s">
        <v>81</v>
      </c>
      <c r="D25" s="8" t="s">
        <v>81</v>
      </c>
      <c r="E25" s="8" t="s">
        <v>81</v>
      </c>
    </row>
    <row r="26" spans="1:5" x14ac:dyDescent="0.25">
      <c r="A26" s="12">
        <v>45681</v>
      </c>
      <c r="B26" s="8" t="s">
        <v>67</v>
      </c>
      <c r="C26" s="8" t="s">
        <v>67</v>
      </c>
      <c r="D26" s="8" t="s">
        <v>67</v>
      </c>
      <c r="E26" s="8" t="s">
        <v>67</v>
      </c>
    </row>
    <row r="27" spans="1:5" x14ac:dyDescent="0.25">
      <c r="A27" s="12">
        <v>45682</v>
      </c>
      <c r="B27" s="8" t="s">
        <v>78</v>
      </c>
      <c r="C27" s="8" t="s">
        <v>78</v>
      </c>
      <c r="D27" s="8" t="s">
        <v>78</v>
      </c>
      <c r="E27" s="8" t="s">
        <v>78</v>
      </c>
    </row>
    <row r="28" spans="1:5" x14ac:dyDescent="0.25">
      <c r="A28" s="12">
        <v>45683</v>
      </c>
      <c r="B28" s="8" t="s">
        <v>79</v>
      </c>
      <c r="C28" s="8" t="s">
        <v>79</v>
      </c>
      <c r="D28" s="8" t="s">
        <v>79</v>
      </c>
      <c r="E28" s="8" t="s">
        <v>79</v>
      </c>
    </row>
    <row r="29" spans="1:5" x14ac:dyDescent="0.25">
      <c r="A29" s="12">
        <v>45684</v>
      </c>
      <c r="B29" s="8" t="s">
        <v>69</v>
      </c>
      <c r="C29" s="8" t="s">
        <v>69</v>
      </c>
      <c r="D29" s="8" t="s">
        <v>83</v>
      </c>
      <c r="E29" s="8" t="s">
        <v>84</v>
      </c>
    </row>
    <row r="30" spans="1:5" x14ac:dyDescent="0.25">
      <c r="A30" s="12">
        <v>45685</v>
      </c>
      <c r="B30" s="8" t="s">
        <v>80</v>
      </c>
      <c r="C30" s="8" t="s">
        <v>80</v>
      </c>
      <c r="D30" s="8" t="s">
        <v>80</v>
      </c>
      <c r="E30" s="8" t="s">
        <v>80</v>
      </c>
    </row>
    <row r="31" spans="1:5" x14ac:dyDescent="0.25">
      <c r="A31" s="12">
        <v>45686</v>
      </c>
      <c r="B31" s="8" t="s">
        <v>80</v>
      </c>
      <c r="C31" s="8" t="s">
        <v>80</v>
      </c>
      <c r="D31" s="8" t="s">
        <v>80</v>
      </c>
      <c r="E31" s="8" t="s">
        <v>80</v>
      </c>
    </row>
    <row r="32" spans="1:5" x14ac:dyDescent="0.25">
      <c r="A32" s="12">
        <v>45687</v>
      </c>
      <c r="B32" s="8" t="s">
        <v>78</v>
      </c>
      <c r="C32" s="8" t="s">
        <v>78</v>
      </c>
      <c r="D32" s="8" t="s">
        <v>78</v>
      </c>
      <c r="E32" s="8" t="s">
        <v>78</v>
      </c>
    </row>
    <row r="33" spans="1:5" x14ac:dyDescent="0.25">
      <c r="A33" s="12">
        <v>45688</v>
      </c>
      <c r="B33" s="8" t="s">
        <v>143</v>
      </c>
      <c r="C33" s="8" t="s">
        <v>144</v>
      </c>
      <c r="D33" s="8" t="s">
        <v>79</v>
      </c>
      <c r="E33" s="8" t="s">
        <v>79</v>
      </c>
    </row>
    <row r="34" spans="1:5" x14ac:dyDescent="0.25">
      <c r="A34" s="2"/>
    </row>
  </sheetData>
  <sheetProtection algorithmName="SHA-512" hashValue="michl3nxczG8YRsNXVZfEKdXDVobfzpJRPT8l6jQQOWZmEHrrRcrCVgiNjaj4y02/dQ4YBMnNZr1yoBbewLiyQ==" saltValue="NLQo89L+LfIO/+i4hHzB+g==" spinCount="100000" sheet="1" objects="1" scenarios="1"/>
  <mergeCells count="1">
    <mergeCell ref="A1:A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9844-F084-4709-AAD7-16398EC630AB}">
  <sheetPr codeName="Sheet5"/>
  <dimension ref="A1:J15"/>
  <sheetViews>
    <sheetView workbookViewId="0">
      <selection activeCell="K13" sqref="K13"/>
    </sheetView>
  </sheetViews>
  <sheetFormatPr defaultRowHeight="15" x14ac:dyDescent="0.25"/>
  <cols>
    <col min="1" max="1" width="13.7109375" customWidth="1"/>
    <col min="2" max="2" width="17.85546875" customWidth="1"/>
    <col min="3" max="3" width="16" customWidth="1"/>
    <col min="4" max="4" width="13.5703125" customWidth="1"/>
    <col min="5" max="5" width="13.42578125" customWidth="1"/>
    <col min="6" max="6" width="18.85546875" customWidth="1"/>
  </cols>
  <sheetData>
    <row r="1" spans="1:10" ht="19.5" x14ac:dyDescent="0.25">
      <c r="A1" s="49" t="s">
        <v>88</v>
      </c>
      <c r="B1" s="49"/>
      <c r="C1" s="49"/>
      <c r="D1" s="49"/>
      <c r="E1" s="49"/>
      <c r="F1" s="49"/>
    </row>
    <row r="2" spans="1:10" ht="15.75" x14ac:dyDescent="0.25">
      <c r="A2" s="48" t="s">
        <v>89</v>
      </c>
      <c r="B2" s="48"/>
      <c r="C2" s="48"/>
      <c r="D2" s="48"/>
      <c r="E2" s="48"/>
      <c r="F2" s="48"/>
    </row>
    <row r="3" spans="1:10" ht="15.75" x14ac:dyDescent="0.25">
      <c r="A3" s="9" t="s">
        <v>90</v>
      </c>
      <c r="B3" s="9" t="s">
        <v>91</v>
      </c>
      <c r="C3" s="9" t="s">
        <v>92</v>
      </c>
      <c r="D3" s="9" t="s">
        <v>93</v>
      </c>
      <c r="E3" s="9" t="s">
        <v>94</v>
      </c>
      <c r="F3" s="9" t="s">
        <v>95</v>
      </c>
    </row>
    <row r="4" spans="1:10" ht="15.75" x14ac:dyDescent="0.25">
      <c r="A4" s="47" t="s">
        <v>83</v>
      </c>
      <c r="B4" s="48" t="s">
        <v>96</v>
      </c>
      <c r="C4" s="10" t="s">
        <v>11</v>
      </c>
      <c r="D4" s="10" t="s">
        <v>16</v>
      </c>
      <c r="E4" s="10" t="s">
        <v>19</v>
      </c>
      <c r="F4" s="10" t="s">
        <v>21</v>
      </c>
    </row>
    <row r="5" spans="1:10" ht="15.75" x14ac:dyDescent="0.25">
      <c r="A5" s="47"/>
      <c r="B5" s="48"/>
      <c r="C5" s="10" t="s">
        <v>12</v>
      </c>
      <c r="D5" s="10" t="s">
        <v>25</v>
      </c>
      <c r="E5" s="10" t="s">
        <v>33</v>
      </c>
      <c r="F5" s="10" t="s">
        <v>41</v>
      </c>
    </row>
    <row r="6" spans="1:10" ht="15.75" x14ac:dyDescent="0.25">
      <c r="A6" s="47" t="s">
        <v>84</v>
      </c>
      <c r="B6" s="48" t="s">
        <v>96</v>
      </c>
      <c r="C6" s="10" t="s">
        <v>11</v>
      </c>
      <c r="D6" s="10" t="s">
        <v>16</v>
      </c>
      <c r="E6" s="10" t="s">
        <v>19</v>
      </c>
      <c r="F6" s="10" t="s">
        <v>21</v>
      </c>
    </row>
    <row r="7" spans="1:10" ht="15.75" x14ac:dyDescent="0.25">
      <c r="A7" s="47"/>
      <c r="B7" s="48"/>
      <c r="C7" s="10" t="s">
        <v>12</v>
      </c>
      <c r="D7" s="10" t="s">
        <v>25</v>
      </c>
      <c r="E7" s="10" t="s">
        <v>33</v>
      </c>
      <c r="F7" s="10" t="s">
        <v>41</v>
      </c>
    </row>
    <row r="8" spans="1:10" ht="15.75" x14ac:dyDescent="0.25">
      <c r="A8" s="47" t="s">
        <v>97</v>
      </c>
      <c r="B8" s="48" t="s">
        <v>96</v>
      </c>
      <c r="C8" s="10" t="s">
        <v>11</v>
      </c>
      <c r="D8" s="10" t="s">
        <v>16</v>
      </c>
      <c r="E8" s="10" t="s">
        <v>19</v>
      </c>
      <c r="F8" s="10" t="s">
        <v>21</v>
      </c>
    </row>
    <row r="9" spans="1:10" ht="15.75" x14ac:dyDescent="0.25">
      <c r="A9" s="47"/>
      <c r="B9" s="48"/>
      <c r="C9" s="10" t="s">
        <v>12</v>
      </c>
      <c r="D9" s="10" t="s">
        <v>25</v>
      </c>
      <c r="E9" s="10" t="s">
        <v>33</v>
      </c>
      <c r="F9" s="10" t="s">
        <v>41</v>
      </c>
    </row>
    <row r="10" spans="1:10" ht="15.75" x14ac:dyDescent="0.25">
      <c r="A10" s="47" t="s">
        <v>98</v>
      </c>
      <c r="B10" s="48" t="s">
        <v>96</v>
      </c>
      <c r="C10" s="10" t="s">
        <v>11</v>
      </c>
      <c r="D10" s="10" t="s">
        <v>16</v>
      </c>
      <c r="E10" s="10" t="s">
        <v>19</v>
      </c>
      <c r="F10" s="10" t="s">
        <v>21</v>
      </c>
    </row>
    <row r="11" spans="1:10" ht="15.75" x14ac:dyDescent="0.25">
      <c r="A11" s="47"/>
      <c r="B11" s="48"/>
      <c r="C11" s="10" t="s">
        <v>12</v>
      </c>
      <c r="D11" s="10" t="s">
        <v>25</v>
      </c>
      <c r="E11" s="10" t="s">
        <v>33</v>
      </c>
      <c r="F11" s="10" t="s">
        <v>41</v>
      </c>
    </row>
    <row r="12" spans="1:10" ht="15.75" x14ac:dyDescent="0.25">
      <c r="A12" s="47" t="s">
        <v>99</v>
      </c>
      <c r="B12" s="48" t="s">
        <v>96</v>
      </c>
      <c r="C12" s="10" t="s">
        <v>11</v>
      </c>
      <c r="D12" s="10" t="s">
        <v>16</v>
      </c>
      <c r="E12" s="10" t="s">
        <v>19</v>
      </c>
      <c r="F12" s="10" t="s">
        <v>21</v>
      </c>
    </row>
    <row r="13" spans="1:10" ht="15.75" x14ac:dyDescent="0.25">
      <c r="A13" s="47"/>
      <c r="B13" s="48"/>
      <c r="C13" s="10" t="s">
        <v>12</v>
      </c>
      <c r="D13" s="10" t="s">
        <v>25</v>
      </c>
      <c r="E13" s="10" t="s">
        <v>33</v>
      </c>
      <c r="F13" s="10" t="s">
        <v>41</v>
      </c>
      <c r="J13" s="8"/>
    </row>
    <row r="14" spans="1:10" ht="15.75" x14ac:dyDescent="0.25">
      <c r="A14" s="47" t="s">
        <v>100</v>
      </c>
      <c r="B14" s="48" t="s">
        <v>96</v>
      </c>
      <c r="C14" s="10" t="s">
        <v>11</v>
      </c>
      <c r="D14" s="10" t="s">
        <v>16</v>
      </c>
      <c r="E14" s="10" t="s">
        <v>19</v>
      </c>
      <c r="F14" s="10" t="s">
        <v>21</v>
      </c>
    </row>
    <row r="15" spans="1:10" ht="15.75" x14ac:dyDescent="0.25">
      <c r="A15" s="47"/>
      <c r="B15" s="48"/>
      <c r="C15" s="10" t="s">
        <v>12</v>
      </c>
      <c r="D15" s="10" t="s">
        <v>25</v>
      </c>
      <c r="E15" s="10" t="s">
        <v>33</v>
      </c>
      <c r="F15" s="10" t="s">
        <v>41</v>
      </c>
    </row>
  </sheetData>
  <sheetProtection algorithmName="SHA-512" hashValue="rMLHfSWA0zSSKH3QPn15cc/47Go1dl7+b0bo2Hon7Wd/SLHcFT7XyG7Fjgueq3vd8y0LnjpVnINy+VfMeYl+yQ==" saltValue="fANv4XLSnL4Je0ky3PzAow==" spinCount="100000" sheet="1" objects="1" scenarios="1"/>
  <mergeCells count="14">
    <mergeCell ref="B10:B11"/>
    <mergeCell ref="B12:B13"/>
    <mergeCell ref="B14:B15"/>
    <mergeCell ref="A6:A7"/>
    <mergeCell ref="A8:A9"/>
    <mergeCell ref="A10:A11"/>
    <mergeCell ref="A12:A13"/>
    <mergeCell ref="A14:A15"/>
    <mergeCell ref="B8:B9"/>
    <mergeCell ref="A4:A5"/>
    <mergeCell ref="B4:B5"/>
    <mergeCell ref="A1:F1"/>
    <mergeCell ref="A2:F2"/>
    <mergeCell ref="B6:B7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BA3C-887B-4CB1-A6C0-E50E7D37157F}">
  <sheetPr codeName="Sheet6"/>
  <dimension ref="A1:H28"/>
  <sheetViews>
    <sheetView workbookViewId="0">
      <pane xSplit="4" ySplit="2" topLeftCell="E3" activePane="bottomRight" state="frozen"/>
      <selection pane="topRight" activeCell="E1" sqref="E1"/>
      <selection pane="bottomLeft" activeCell="A4" sqref="A4"/>
      <selection pane="bottomRight" activeCell="K12" sqref="K12"/>
    </sheetView>
  </sheetViews>
  <sheetFormatPr defaultRowHeight="15" x14ac:dyDescent="0.25"/>
  <cols>
    <col min="1" max="1" width="15" bestFit="1" customWidth="1"/>
    <col min="5" max="5" width="10" bestFit="1" customWidth="1"/>
    <col min="6" max="6" width="10.85546875" bestFit="1" customWidth="1"/>
    <col min="7" max="7" width="20.140625" customWidth="1"/>
    <col min="8" max="8" width="17.7109375" bestFit="1" customWidth="1"/>
  </cols>
  <sheetData>
    <row r="1" spans="1:8" x14ac:dyDescent="0.25">
      <c r="A1" s="46" t="s">
        <v>0</v>
      </c>
      <c r="B1" s="46" t="s">
        <v>1</v>
      </c>
      <c r="C1" s="46" t="s">
        <v>2</v>
      </c>
      <c r="D1" s="46" t="s">
        <v>3</v>
      </c>
      <c r="E1" s="50">
        <f ca="1">TODAY()</f>
        <v>46042</v>
      </c>
      <c r="F1" s="50"/>
      <c r="G1" s="50"/>
      <c r="H1" s="50"/>
    </row>
    <row r="2" spans="1:8" x14ac:dyDescent="0.25">
      <c r="A2" s="46"/>
      <c r="B2" s="46"/>
      <c r="C2" s="46"/>
      <c r="D2" s="46"/>
      <c r="E2" s="36" t="s">
        <v>85</v>
      </c>
      <c r="F2" s="36" t="s">
        <v>86</v>
      </c>
      <c r="G2" s="36" t="s">
        <v>87</v>
      </c>
      <c r="H2" s="38" t="s">
        <v>103</v>
      </c>
    </row>
    <row r="3" spans="1:8" x14ac:dyDescent="0.25">
      <c r="A3" s="8" t="s">
        <v>10</v>
      </c>
      <c r="B3" s="8">
        <v>4</v>
      </c>
      <c r="C3" s="8" t="s">
        <v>7</v>
      </c>
      <c r="D3" s="8" t="s">
        <v>11</v>
      </c>
      <c r="E3" s="8">
        <v>30</v>
      </c>
      <c r="F3" s="8">
        <v>10.5</v>
      </c>
      <c r="G3" s="8">
        <f ca="1">RANDBETWEEN(1, 29)</f>
        <v>10</v>
      </c>
      <c r="H3" t="str">
        <f ca="1">IF(G3&gt;=25,"Outstanding",IF(G3&gt;=15,"Excellence",IF(G3&gt;=10.5,"Satisfactory","NG")))</f>
        <v>NG</v>
      </c>
    </row>
    <row r="4" spans="1:8" x14ac:dyDescent="0.25">
      <c r="A4" s="8" t="s">
        <v>15</v>
      </c>
      <c r="B4" s="8">
        <v>4</v>
      </c>
      <c r="C4" s="8" t="s">
        <v>8</v>
      </c>
      <c r="D4" s="8" t="s">
        <v>11</v>
      </c>
      <c r="E4" s="8">
        <v>30</v>
      </c>
      <c r="F4" s="8">
        <v>10.5</v>
      </c>
      <c r="G4" s="8">
        <f t="shared" ref="G4:G7" ca="1" si="0">RANDBETWEEN(1, 29)</f>
        <v>27</v>
      </c>
      <c r="H4" t="str">
        <f t="shared" ref="H4:H28" ca="1" si="1">IF(G4&gt;=25,"Outstanding",IF(G4&gt;=15,"Excellence",IF(G4&gt;=10.5,"Satisfactory","NG")))</f>
        <v>Outstanding</v>
      </c>
    </row>
    <row r="5" spans="1:8" x14ac:dyDescent="0.25">
      <c r="A5" s="8" t="s">
        <v>18</v>
      </c>
      <c r="B5" s="8">
        <v>4</v>
      </c>
      <c r="C5" s="8" t="s">
        <v>7</v>
      </c>
      <c r="D5" s="8" t="s">
        <v>11</v>
      </c>
      <c r="E5" s="8">
        <v>30</v>
      </c>
      <c r="F5" s="8">
        <v>10.5</v>
      </c>
      <c r="G5" s="8">
        <f t="shared" ca="1" si="0"/>
        <v>21</v>
      </c>
      <c r="H5" t="str">
        <f t="shared" ca="1" si="1"/>
        <v>Excellence</v>
      </c>
    </row>
    <row r="6" spans="1:8" x14ac:dyDescent="0.25">
      <c r="A6" s="8" t="s">
        <v>20</v>
      </c>
      <c r="B6" s="8">
        <v>4</v>
      </c>
      <c r="C6" s="8" t="s">
        <v>8</v>
      </c>
      <c r="D6" s="8" t="s">
        <v>11</v>
      </c>
      <c r="E6" s="8">
        <v>30</v>
      </c>
      <c r="F6" s="8">
        <v>10.5</v>
      </c>
      <c r="G6" s="8">
        <f t="shared" ca="1" si="0"/>
        <v>12</v>
      </c>
      <c r="H6" t="str">
        <f t="shared" ca="1" si="1"/>
        <v>Satisfactory</v>
      </c>
    </row>
    <row r="7" spans="1:8" x14ac:dyDescent="0.25">
      <c r="A7" s="8" t="s">
        <v>23</v>
      </c>
      <c r="B7" s="8">
        <v>4</v>
      </c>
      <c r="C7" s="8" t="s">
        <v>7</v>
      </c>
      <c r="D7" s="8" t="s">
        <v>11</v>
      </c>
      <c r="E7" s="8">
        <v>30</v>
      </c>
      <c r="F7" s="8">
        <v>10.5</v>
      </c>
      <c r="G7" s="8">
        <f t="shared" ca="1" si="0"/>
        <v>5</v>
      </c>
      <c r="H7" t="str">
        <f t="shared" ca="1" si="1"/>
        <v>NG</v>
      </c>
    </row>
    <row r="8" spans="1:8" x14ac:dyDescent="0.25">
      <c r="A8" s="8"/>
      <c r="B8" s="8"/>
      <c r="C8" s="8"/>
      <c r="D8" s="8"/>
      <c r="E8" s="8"/>
      <c r="F8" s="8"/>
      <c r="G8" s="8"/>
    </row>
    <row r="9" spans="1:8" x14ac:dyDescent="0.25">
      <c r="A9" s="8" t="s">
        <v>24</v>
      </c>
      <c r="B9" s="8">
        <v>5</v>
      </c>
      <c r="C9" s="8" t="s">
        <v>7</v>
      </c>
      <c r="D9" s="8" t="s">
        <v>16</v>
      </c>
      <c r="E9" s="8">
        <v>30</v>
      </c>
      <c r="F9" s="8">
        <v>10.5</v>
      </c>
      <c r="G9" s="8">
        <f ca="1">RANDBETWEEN(1, 29)</f>
        <v>15</v>
      </c>
      <c r="H9" t="str">
        <f t="shared" ca="1" si="1"/>
        <v>Excellence</v>
      </c>
    </row>
    <row r="10" spans="1:8" x14ac:dyDescent="0.25">
      <c r="A10" s="8" t="s">
        <v>27</v>
      </c>
      <c r="B10" s="8">
        <v>5</v>
      </c>
      <c r="C10" s="8" t="s">
        <v>8</v>
      </c>
      <c r="D10" s="8" t="s">
        <v>16</v>
      </c>
      <c r="E10" s="8">
        <v>30</v>
      </c>
      <c r="F10" s="8">
        <v>10.5</v>
      </c>
      <c r="G10" s="8">
        <f t="shared" ref="G10:G14" ca="1" si="2">RANDBETWEEN(1, 29)</f>
        <v>27</v>
      </c>
      <c r="H10" t="str">
        <f t="shared" ca="1" si="1"/>
        <v>Outstanding</v>
      </c>
    </row>
    <row r="11" spans="1:8" x14ac:dyDescent="0.25">
      <c r="A11" s="8" t="s">
        <v>28</v>
      </c>
      <c r="B11" s="8">
        <v>5</v>
      </c>
      <c r="C11" s="8" t="s">
        <v>7</v>
      </c>
      <c r="D11" s="8" t="s">
        <v>16</v>
      </c>
      <c r="E11" s="8">
        <v>30</v>
      </c>
      <c r="F11" s="8">
        <v>10.5</v>
      </c>
      <c r="G11" s="8">
        <f t="shared" ca="1" si="2"/>
        <v>26</v>
      </c>
      <c r="H11" t="str">
        <f t="shared" ca="1" si="1"/>
        <v>Outstanding</v>
      </c>
    </row>
    <row r="12" spans="1:8" x14ac:dyDescent="0.25">
      <c r="A12" s="8" t="s">
        <v>29</v>
      </c>
      <c r="B12" s="8">
        <v>5</v>
      </c>
      <c r="C12" s="8" t="s">
        <v>8</v>
      </c>
      <c r="D12" s="8" t="s">
        <v>16</v>
      </c>
      <c r="E12" s="8">
        <v>30</v>
      </c>
      <c r="F12" s="8">
        <v>10.5</v>
      </c>
      <c r="G12" s="8">
        <f t="shared" ca="1" si="2"/>
        <v>28</v>
      </c>
      <c r="H12" t="str">
        <f t="shared" ca="1" si="1"/>
        <v>Outstanding</v>
      </c>
    </row>
    <row r="13" spans="1:8" x14ac:dyDescent="0.25">
      <c r="A13" s="8" t="s">
        <v>30</v>
      </c>
      <c r="B13" s="8">
        <v>5</v>
      </c>
      <c r="C13" s="8" t="s">
        <v>7</v>
      </c>
      <c r="D13" s="8" t="s">
        <v>16</v>
      </c>
      <c r="E13" s="8">
        <v>30</v>
      </c>
      <c r="F13" s="8">
        <v>10.5</v>
      </c>
      <c r="G13" s="8">
        <f t="shared" ca="1" si="2"/>
        <v>20</v>
      </c>
      <c r="H13" t="str">
        <f t="shared" ca="1" si="1"/>
        <v>Excellence</v>
      </c>
    </row>
    <row r="14" spans="1:8" x14ac:dyDescent="0.25">
      <c r="A14" s="8" t="s">
        <v>31</v>
      </c>
      <c r="B14" s="8">
        <v>6</v>
      </c>
      <c r="C14" s="8" t="s">
        <v>7</v>
      </c>
      <c r="D14" s="8" t="s">
        <v>16</v>
      </c>
      <c r="E14" s="8">
        <v>30</v>
      </c>
      <c r="F14" s="8">
        <v>10.5</v>
      </c>
      <c r="G14" s="8">
        <f t="shared" ca="1" si="2"/>
        <v>11</v>
      </c>
      <c r="H14" t="str">
        <f t="shared" ca="1" si="1"/>
        <v>Satisfactory</v>
      </c>
    </row>
    <row r="15" spans="1:8" x14ac:dyDescent="0.25">
      <c r="A15" s="8"/>
      <c r="B15" s="8"/>
      <c r="C15" s="8"/>
      <c r="D15" s="8"/>
      <c r="E15" s="8"/>
      <c r="F15" s="8"/>
      <c r="G15" s="8"/>
    </row>
    <row r="16" spans="1:8" x14ac:dyDescent="0.25">
      <c r="A16" s="8" t="s">
        <v>32</v>
      </c>
      <c r="B16" s="8">
        <v>6</v>
      </c>
      <c r="C16" s="8" t="s">
        <v>8</v>
      </c>
      <c r="D16" s="8" t="s">
        <v>19</v>
      </c>
      <c r="E16" s="8">
        <v>30</v>
      </c>
      <c r="F16" s="8">
        <v>10.5</v>
      </c>
      <c r="G16" s="8">
        <f ca="1">RANDBETWEEN(1, 29)</f>
        <v>28</v>
      </c>
      <c r="H16" t="str">
        <f t="shared" ca="1" si="1"/>
        <v>Outstanding</v>
      </c>
    </row>
    <row r="17" spans="1:8" x14ac:dyDescent="0.25">
      <c r="A17" s="8" t="s">
        <v>34</v>
      </c>
      <c r="B17" s="8">
        <v>6</v>
      </c>
      <c r="C17" s="8" t="s">
        <v>9</v>
      </c>
      <c r="D17" s="8" t="s">
        <v>19</v>
      </c>
      <c r="E17" s="8">
        <v>30</v>
      </c>
      <c r="F17" s="8">
        <v>10.5</v>
      </c>
      <c r="G17" s="8">
        <f t="shared" ref="G17:G21" ca="1" si="3">RANDBETWEEN(1, 29)</f>
        <v>9</v>
      </c>
      <c r="H17" t="str">
        <f t="shared" ca="1" si="1"/>
        <v>NG</v>
      </c>
    </row>
    <row r="18" spans="1:8" x14ac:dyDescent="0.25">
      <c r="A18" s="8" t="s">
        <v>36</v>
      </c>
      <c r="B18" s="8">
        <v>6</v>
      </c>
      <c r="C18" s="8" t="s">
        <v>7</v>
      </c>
      <c r="D18" s="8" t="s">
        <v>19</v>
      </c>
      <c r="E18" s="8">
        <v>30</v>
      </c>
      <c r="F18" s="8">
        <v>10.5</v>
      </c>
      <c r="G18" s="8">
        <f t="shared" ca="1" si="3"/>
        <v>17</v>
      </c>
      <c r="H18" t="str">
        <f t="shared" ca="1" si="1"/>
        <v>Excellence</v>
      </c>
    </row>
    <row r="19" spans="1:8" x14ac:dyDescent="0.25">
      <c r="A19" s="8" t="s">
        <v>37</v>
      </c>
      <c r="B19" s="8">
        <v>6</v>
      </c>
      <c r="C19" s="8" t="s">
        <v>8</v>
      </c>
      <c r="D19" s="8" t="s">
        <v>19</v>
      </c>
      <c r="E19" s="8">
        <v>30</v>
      </c>
      <c r="F19" s="8">
        <v>10.5</v>
      </c>
      <c r="G19" s="8">
        <f t="shared" ca="1" si="3"/>
        <v>25</v>
      </c>
      <c r="H19" t="str">
        <f t="shared" ca="1" si="1"/>
        <v>Outstanding</v>
      </c>
    </row>
    <row r="20" spans="1:8" x14ac:dyDescent="0.25">
      <c r="A20" s="8" t="s">
        <v>38</v>
      </c>
      <c r="B20" s="8">
        <v>6</v>
      </c>
      <c r="C20" s="8" t="s">
        <v>9</v>
      </c>
      <c r="D20" s="8" t="s">
        <v>19</v>
      </c>
      <c r="E20" s="8">
        <v>30</v>
      </c>
      <c r="F20" s="8">
        <v>10.5</v>
      </c>
      <c r="G20" s="8">
        <f t="shared" ca="1" si="3"/>
        <v>25</v>
      </c>
      <c r="H20" t="str">
        <f t="shared" ca="1" si="1"/>
        <v>Outstanding</v>
      </c>
    </row>
    <row r="21" spans="1:8" x14ac:dyDescent="0.25">
      <c r="A21" s="8" t="s">
        <v>39</v>
      </c>
      <c r="B21" s="8">
        <v>6</v>
      </c>
      <c r="C21" s="8" t="s">
        <v>7</v>
      </c>
      <c r="D21" s="8" t="s">
        <v>19</v>
      </c>
      <c r="E21" s="8">
        <v>30</v>
      </c>
      <c r="F21" s="8">
        <v>10.5</v>
      </c>
      <c r="G21" s="8">
        <f t="shared" ca="1" si="3"/>
        <v>5</v>
      </c>
      <c r="H21" t="str">
        <f t="shared" ca="1" si="1"/>
        <v>NG</v>
      </c>
    </row>
    <row r="22" spans="1:8" x14ac:dyDescent="0.25">
      <c r="A22" s="8"/>
      <c r="B22" s="8"/>
      <c r="C22" s="8"/>
      <c r="D22" s="8"/>
      <c r="E22" s="8"/>
      <c r="F22" s="8"/>
      <c r="G22" s="8"/>
    </row>
    <row r="23" spans="1:8" x14ac:dyDescent="0.25">
      <c r="A23" s="8" t="s">
        <v>40</v>
      </c>
      <c r="B23" s="8">
        <v>7</v>
      </c>
      <c r="C23" s="8" t="s">
        <v>7</v>
      </c>
      <c r="D23" s="8" t="s">
        <v>21</v>
      </c>
      <c r="E23" s="8">
        <v>30</v>
      </c>
      <c r="F23" s="8">
        <v>10.5</v>
      </c>
      <c r="G23" s="8">
        <f ca="1">RANDBETWEEN(1, 29)</f>
        <v>5</v>
      </c>
      <c r="H23" t="str">
        <f t="shared" ca="1" si="1"/>
        <v>NG</v>
      </c>
    </row>
    <row r="24" spans="1:8" x14ac:dyDescent="0.25">
      <c r="A24" s="8" t="s">
        <v>42</v>
      </c>
      <c r="B24" s="8">
        <v>7</v>
      </c>
      <c r="C24" s="8" t="s">
        <v>8</v>
      </c>
      <c r="D24" s="8" t="s">
        <v>21</v>
      </c>
      <c r="E24" s="8">
        <v>30</v>
      </c>
      <c r="F24" s="8">
        <v>10.5</v>
      </c>
      <c r="G24" s="8">
        <f t="shared" ref="G24:G27" ca="1" si="4">RANDBETWEEN(1, 29)</f>
        <v>24</v>
      </c>
      <c r="H24" t="str">
        <f t="shared" ca="1" si="1"/>
        <v>Excellence</v>
      </c>
    </row>
    <row r="25" spans="1:8" x14ac:dyDescent="0.25">
      <c r="A25" s="8" t="s">
        <v>43</v>
      </c>
      <c r="B25" s="8">
        <v>7</v>
      </c>
      <c r="C25" s="8" t="s">
        <v>9</v>
      </c>
      <c r="D25" s="8" t="s">
        <v>21</v>
      </c>
      <c r="E25" s="8">
        <v>30</v>
      </c>
      <c r="F25" s="8">
        <v>10.5</v>
      </c>
      <c r="G25" s="8">
        <f t="shared" ca="1" si="4"/>
        <v>23</v>
      </c>
      <c r="H25" t="str">
        <f t="shared" ca="1" si="1"/>
        <v>Excellence</v>
      </c>
    </row>
    <row r="26" spans="1:8" x14ac:dyDescent="0.25">
      <c r="A26" s="8" t="s">
        <v>44</v>
      </c>
      <c r="B26" s="8">
        <v>7</v>
      </c>
      <c r="C26" s="8" t="s">
        <v>7</v>
      </c>
      <c r="D26" s="8" t="s">
        <v>21</v>
      </c>
      <c r="E26" s="8">
        <v>30</v>
      </c>
      <c r="F26" s="8">
        <v>10.5</v>
      </c>
      <c r="G26" s="8">
        <f t="shared" ca="1" si="4"/>
        <v>17</v>
      </c>
      <c r="H26" t="str">
        <f t="shared" ca="1" si="1"/>
        <v>Excellence</v>
      </c>
    </row>
    <row r="27" spans="1:8" x14ac:dyDescent="0.25">
      <c r="A27" s="8" t="s">
        <v>45</v>
      </c>
      <c r="B27" s="8">
        <v>7</v>
      </c>
      <c r="C27" s="8" t="s">
        <v>8</v>
      </c>
      <c r="D27" s="8" t="s">
        <v>21</v>
      </c>
      <c r="E27" s="8">
        <v>30</v>
      </c>
      <c r="F27" s="8">
        <v>10.5</v>
      </c>
      <c r="G27" s="8">
        <f t="shared" ca="1" si="4"/>
        <v>24</v>
      </c>
      <c r="H27" t="str">
        <f t="shared" ca="1" si="1"/>
        <v>Excellence</v>
      </c>
    </row>
    <row r="28" spans="1:8" x14ac:dyDescent="0.25">
      <c r="A28" s="8" t="s">
        <v>46</v>
      </c>
      <c r="B28" s="8">
        <v>7</v>
      </c>
      <c r="C28" s="8" t="s">
        <v>9</v>
      </c>
      <c r="D28" s="8" t="s">
        <v>21</v>
      </c>
      <c r="E28" s="8">
        <v>30</v>
      </c>
      <c r="F28" s="8">
        <v>10.5</v>
      </c>
      <c r="G28" s="8">
        <f ca="1">RANDBETWEEN(1, 29)</f>
        <v>28</v>
      </c>
      <c r="H28" t="str">
        <f t="shared" ca="1" si="1"/>
        <v>Outstanding</v>
      </c>
    </row>
  </sheetData>
  <sheetProtection algorithmName="SHA-512" hashValue="Rgd9/GW0QS2eN1NwKcRhfL/q0YmJgGjmYHLBJad04QSS/23M+2g5tO9cBQ6PtW9jh+nK3EtgwVAd+u7+Yzam2A==" saltValue="76Xp/iLtHbJCHWLRS+zqtw==" spinCount="100000" sheet="1" objects="1" scenarios="1"/>
  <mergeCells count="5">
    <mergeCell ref="A1:A2"/>
    <mergeCell ref="B1:B2"/>
    <mergeCell ref="C1:C2"/>
    <mergeCell ref="D1:D2"/>
    <mergeCell ref="E1:H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B3B7-B23A-4C1E-90AE-C095A46E31E3}">
  <sheetPr codeName="Sheet1"/>
  <dimension ref="A1:Q11"/>
  <sheetViews>
    <sheetView workbookViewId="0">
      <selection activeCell="M8" sqref="M8"/>
    </sheetView>
  </sheetViews>
  <sheetFormatPr defaultRowHeight="15" x14ac:dyDescent="0.25"/>
  <cols>
    <col min="1" max="1" width="5.42578125" customWidth="1"/>
    <col min="2" max="2" width="14.42578125" bestFit="1" customWidth="1"/>
    <col min="6" max="6" width="11.5703125" bestFit="1" customWidth="1"/>
    <col min="7" max="7" width="12.85546875" bestFit="1" customWidth="1"/>
    <col min="8" max="8" width="18" bestFit="1" customWidth="1"/>
  </cols>
  <sheetData>
    <row r="1" spans="1:17" x14ac:dyDescent="0.25">
      <c r="A1" s="1" t="s">
        <v>120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101</v>
      </c>
      <c r="G1" s="6" t="s">
        <v>102</v>
      </c>
      <c r="H1" s="6" t="s">
        <v>103</v>
      </c>
    </row>
    <row r="2" spans="1:17" x14ac:dyDescent="0.25">
      <c r="A2">
        <v>1</v>
      </c>
      <c r="B2" t="s">
        <v>110</v>
      </c>
      <c r="C2">
        <v>4</v>
      </c>
      <c r="D2" t="s">
        <v>8</v>
      </c>
      <c r="E2" t="s">
        <v>11</v>
      </c>
      <c r="F2" s="2">
        <v>46047</v>
      </c>
      <c r="G2" t="s">
        <v>104</v>
      </c>
      <c r="H2" t="s">
        <v>106</v>
      </c>
      <c r="I2" s="13"/>
      <c r="Q2" t="s">
        <v>104</v>
      </c>
    </row>
    <row r="3" spans="1:17" x14ac:dyDescent="0.25">
      <c r="A3">
        <v>2</v>
      </c>
      <c r="B3" t="s">
        <v>111</v>
      </c>
      <c r="C3">
        <v>4</v>
      </c>
      <c r="D3" t="s">
        <v>7</v>
      </c>
      <c r="E3" t="s">
        <v>11</v>
      </c>
      <c r="F3" s="2">
        <v>46047</v>
      </c>
      <c r="G3" t="s">
        <v>104</v>
      </c>
      <c r="H3" t="s">
        <v>107</v>
      </c>
      <c r="Q3" t="s">
        <v>105</v>
      </c>
    </row>
    <row r="4" spans="1:17" x14ac:dyDescent="0.25">
      <c r="A4">
        <v>3</v>
      </c>
      <c r="B4" t="s">
        <v>112</v>
      </c>
      <c r="C4">
        <v>4</v>
      </c>
      <c r="D4" t="s">
        <v>8</v>
      </c>
      <c r="E4" t="s">
        <v>11</v>
      </c>
      <c r="F4" s="2">
        <v>46047</v>
      </c>
      <c r="G4" t="s">
        <v>105</v>
      </c>
      <c r="H4" t="s">
        <v>108</v>
      </c>
    </row>
    <row r="5" spans="1:17" x14ac:dyDescent="0.25">
      <c r="A5">
        <v>4</v>
      </c>
      <c r="B5" t="s">
        <v>113</v>
      </c>
      <c r="C5">
        <v>5</v>
      </c>
      <c r="D5" t="s">
        <v>7</v>
      </c>
      <c r="E5" t="s">
        <v>16</v>
      </c>
      <c r="F5" s="2">
        <v>46047</v>
      </c>
      <c r="G5" t="s">
        <v>105</v>
      </c>
      <c r="H5" t="s">
        <v>109</v>
      </c>
    </row>
    <row r="6" spans="1:17" x14ac:dyDescent="0.25">
      <c r="A6">
        <v>5</v>
      </c>
      <c r="B6" t="s">
        <v>114</v>
      </c>
      <c r="C6">
        <v>5</v>
      </c>
      <c r="D6" t="s">
        <v>8</v>
      </c>
      <c r="E6" t="s">
        <v>16</v>
      </c>
      <c r="F6" s="2">
        <v>46047</v>
      </c>
      <c r="G6" t="s">
        <v>104</v>
      </c>
      <c r="H6" t="s">
        <v>106</v>
      </c>
    </row>
    <row r="7" spans="1:17" x14ac:dyDescent="0.25">
      <c r="A7">
        <v>6</v>
      </c>
      <c r="B7" t="s">
        <v>115</v>
      </c>
      <c r="C7">
        <v>5</v>
      </c>
      <c r="D7" t="s">
        <v>7</v>
      </c>
      <c r="E7" t="s">
        <v>16</v>
      </c>
      <c r="F7" s="2">
        <v>46047</v>
      </c>
      <c r="G7" t="s">
        <v>104</v>
      </c>
      <c r="H7" t="s">
        <v>106</v>
      </c>
    </row>
    <row r="8" spans="1:17" x14ac:dyDescent="0.25">
      <c r="A8">
        <v>7</v>
      </c>
      <c r="B8" t="s">
        <v>116</v>
      </c>
      <c r="C8">
        <v>7</v>
      </c>
      <c r="D8" t="s">
        <v>7</v>
      </c>
      <c r="E8" t="s">
        <v>21</v>
      </c>
      <c r="F8" s="2">
        <v>46047</v>
      </c>
      <c r="G8" t="s">
        <v>104</v>
      </c>
      <c r="H8" t="s">
        <v>106</v>
      </c>
    </row>
    <row r="9" spans="1:17" x14ac:dyDescent="0.25">
      <c r="A9">
        <v>8</v>
      </c>
      <c r="B9" t="s">
        <v>117</v>
      </c>
      <c r="C9">
        <v>7</v>
      </c>
      <c r="D9" t="s">
        <v>8</v>
      </c>
      <c r="E9" t="s">
        <v>21</v>
      </c>
      <c r="F9" s="2">
        <v>46047</v>
      </c>
      <c r="G9" t="s">
        <v>104</v>
      </c>
      <c r="H9" t="s">
        <v>106</v>
      </c>
    </row>
    <row r="10" spans="1:17" x14ac:dyDescent="0.25">
      <c r="A10">
        <v>9</v>
      </c>
      <c r="B10" t="s">
        <v>118</v>
      </c>
      <c r="C10">
        <v>7</v>
      </c>
      <c r="D10" t="s">
        <v>9</v>
      </c>
      <c r="E10" t="s">
        <v>21</v>
      </c>
      <c r="F10" s="2">
        <v>46047</v>
      </c>
      <c r="G10" t="s">
        <v>104</v>
      </c>
      <c r="H10" t="s">
        <v>106</v>
      </c>
    </row>
    <row r="11" spans="1:17" x14ac:dyDescent="0.25">
      <c r="A11">
        <v>10</v>
      </c>
      <c r="B11" t="s">
        <v>119</v>
      </c>
      <c r="C11">
        <v>6</v>
      </c>
      <c r="D11" t="s">
        <v>9</v>
      </c>
      <c r="E11" t="s">
        <v>19</v>
      </c>
      <c r="F11" s="2">
        <v>46047</v>
      </c>
      <c r="G11" t="s">
        <v>104</v>
      </c>
      <c r="H11" t="s">
        <v>106</v>
      </c>
    </row>
  </sheetData>
  <sheetProtection algorithmName="SHA-512" hashValue="GpGZXf3Eyb2Qlnw+lH3xMGRIKzp6TJ3BoEiCLScHEKmhIgToR6J/xREe4MHeAqL/VfF3i1nIH/oziiboKVDZWw==" saltValue="7ychry42HyhI29lt487w2w==" spinCount="100000" sheet="1" objects="1" scenarios="1"/>
  <phoneticPr fontId="2" type="noConversion"/>
  <dataValidations count="1">
    <dataValidation type="list" allowBlank="1" showInputMessage="1" showErrorMessage="1" sqref="G2:G11" xr:uid="{F23DF5A9-437F-4B30-9F6A-9400B130F9F2}">
      <formula1>$Q$2:$Q$3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3CFB-E26A-4CF0-B40D-B0F9FE34B5A0}">
  <sheetPr codeName="Sheet7"/>
  <dimension ref="A1:G7"/>
  <sheetViews>
    <sheetView tabSelected="1" workbookViewId="0">
      <selection activeCell="M5" sqref="M5"/>
    </sheetView>
  </sheetViews>
  <sheetFormatPr defaultRowHeight="15" x14ac:dyDescent="0.25"/>
  <cols>
    <col min="1" max="1" width="6.85546875" customWidth="1"/>
    <col min="2" max="2" width="15.7109375" customWidth="1"/>
    <col min="6" max="6" width="13.5703125" bestFit="1" customWidth="1"/>
    <col min="7" max="7" width="11.42578125" customWidth="1"/>
  </cols>
  <sheetData>
    <row r="1" spans="1:7" x14ac:dyDescent="0.25">
      <c r="A1" s="7" t="s">
        <v>120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122</v>
      </c>
      <c r="G1" s="7" t="s">
        <v>121</v>
      </c>
    </row>
    <row r="2" spans="1:7" x14ac:dyDescent="0.25">
      <c r="A2">
        <v>1</v>
      </c>
      <c r="B2" t="s">
        <v>23</v>
      </c>
      <c r="C2">
        <v>4</v>
      </c>
      <c r="D2" t="s">
        <v>7</v>
      </c>
      <c r="E2" t="s">
        <v>11</v>
      </c>
      <c r="F2" s="2">
        <v>46046</v>
      </c>
      <c r="G2" t="s">
        <v>123</v>
      </c>
    </row>
    <row r="3" spans="1:7" x14ac:dyDescent="0.25">
      <c r="A3">
        <v>2</v>
      </c>
      <c r="B3" t="s">
        <v>30</v>
      </c>
      <c r="C3">
        <v>5</v>
      </c>
      <c r="D3" t="s">
        <v>7</v>
      </c>
      <c r="E3" t="s">
        <v>16</v>
      </c>
      <c r="F3" s="2">
        <v>46046</v>
      </c>
      <c r="G3" t="s">
        <v>123</v>
      </c>
    </row>
    <row r="4" spans="1:7" x14ac:dyDescent="0.25">
      <c r="A4">
        <v>3</v>
      </c>
      <c r="B4" t="s">
        <v>36</v>
      </c>
      <c r="C4">
        <v>6</v>
      </c>
      <c r="D4" t="s">
        <v>7</v>
      </c>
      <c r="E4" t="s">
        <v>19</v>
      </c>
      <c r="F4" s="2">
        <v>46046</v>
      </c>
      <c r="G4" t="s">
        <v>123</v>
      </c>
    </row>
    <row r="5" spans="1:7" x14ac:dyDescent="0.25">
      <c r="A5">
        <v>4</v>
      </c>
      <c r="B5" t="s">
        <v>37</v>
      </c>
      <c r="C5">
        <v>6</v>
      </c>
      <c r="D5" t="s">
        <v>8</v>
      </c>
      <c r="E5" t="s">
        <v>19</v>
      </c>
      <c r="F5" s="2">
        <v>46046</v>
      </c>
      <c r="G5" t="s">
        <v>123</v>
      </c>
    </row>
    <row r="6" spans="1:7" x14ac:dyDescent="0.25">
      <c r="A6">
        <v>5</v>
      </c>
      <c r="B6" t="s">
        <v>45</v>
      </c>
      <c r="C6">
        <v>7</v>
      </c>
      <c r="D6" t="s">
        <v>8</v>
      </c>
      <c r="E6" t="s">
        <v>21</v>
      </c>
      <c r="F6" s="2">
        <v>46046</v>
      </c>
      <c r="G6" t="s">
        <v>123</v>
      </c>
    </row>
    <row r="7" spans="1:7" x14ac:dyDescent="0.25">
      <c r="A7">
        <v>6</v>
      </c>
      <c r="B7" t="s">
        <v>46</v>
      </c>
      <c r="C7">
        <v>7</v>
      </c>
      <c r="D7" t="s">
        <v>9</v>
      </c>
      <c r="E7" t="s">
        <v>21</v>
      </c>
      <c r="F7" s="2">
        <v>46046</v>
      </c>
      <c r="G7" t="s">
        <v>123</v>
      </c>
    </row>
  </sheetData>
  <sheetProtection algorithmName="SHA-512" hashValue="cmbLjr2tkvxxSGgxK6h6pvbgoXG23ZDoLt/JhGBgzekEDs92FXpSNBfASRL5g4Mn5qWW3CzFvMZyYtLLBHJhNA==" saltValue="WPg/sRdnth9NXcBYrAGKD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Know Your Student</vt:lpstr>
      <vt:lpstr>Functional Sheet</vt:lpstr>
      <vt:lpstr>Students Record</vt:lpstr>
      <vt:lpstr>Attendance</vt:lpstr>
      <vt:lpstr>What's Happening  </vt:lpstr>
      <vt:lpstr>Classr Routine</vt:lpstr>
      <vt:lpstr>Exams</vt:lpstr>
      <vt:lpstr>New Students Record</vt:lpstr>
      <vt:lpstr>Exit Students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 Acharya</dc:creator>
  <cp:lastModifiedBy>Anam Acharya</cp:lastModifiedBy>
  <dcterms:created xsi:type="dcterms:W3CDTF">2025-12-31T09:51:03Z</dcterms:created>
  <dcterms:modified xsi:type="dcterms:W3CDTF">2026-01-20T16:09:15Z</dcterms:modified>
</cp:coreProperties>
</file>